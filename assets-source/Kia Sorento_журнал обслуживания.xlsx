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пцов\накопитель\"/>
    </mc:Choice>
  </mc:AlternateContent>
  <xr:revisionPtr revIDLastSave="0" documentId="13_ncr:1_{1DEF852A-DDA4-4902-9B91-5FC3F712A1DB}" xr6:coauthVersionLast="47" xr6:coauthVersionMax="47" xr10:uidLastSave="{00000000-0000-0000-0000-000000000000}"/>
  <bookViews>
    <workbookView xWindow="-120" yWindow="-120" windowWidth="38640" windowHeight="21240" xr2:uid="{92B248FD-EB21-4922-9440-1D9A5AD8D34A}"/>
  </bookViews>
  <sheets>
    <sheet name="Соренто" sheetId="1" r:id="rId1"/>
  </sheets>
  <definedNames>
    <definedName name="_xlnm._FilterDatabase" localSheetId="0" hidden="1">Соренто!$A$7:$O$260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1" i="1" l="1"/>
  <c r="Q249" i="1"/>
  <c r="K243" i="1"/>
  <c r="I243" i="1"/>
  <c r="I222" i="1"/>
  <c r="K222" i="1" s="1"/>
  <c r="K221" i="1"/>
  <c r="I221" i="1"/>
  <c r="I220" i="1"/>
  <c r="K220" i="1" s="1"/>
  <c r="K219" i="1"/>
  <c r="I219" i="1"/>
  <c r="I218" i="1"/>
  <c r="K218" i="1" s="1"/>
  <c r="K217" i="1"/>
  <c r="I217" i="1"/>
  <c r="I214" i="1"/>
  <c r="N209" i="1"/>
  <c r="I209" i="1"/>
  <c r="I208" i="1"/>
  <c r="K204" i="1"/>
  <c r="I204" i="1"/>
  <c r="I203" i="1"/>
  <c r="K203" i="1" s="1"/>
  <c r="K202" i="1"/>
  <c r="I202" i="1"/>
  <c r="I201" i="1"/>
  <c r="K201" i="1" s="1"/>
  <c r="K200" i="1"/>
  <c r="I200" i="1"/>
  <c r="I199" i="1"/>
  <c r="K199" i="1" s="1"/>
  <c r="K198" i="1"/>
  <c r="I198" i="1"/>
  <c r="I197" i="1"/>
  <c r="K197" i="1" s="1"/>
  <c r="K196" i="1"/>
  <c r="I196" i="1"/>
  <c r="I195" i="1"/>
  <c r="K195" i="1" s="1"/>
  <c r="N192" i="1"/>
  <c r="I192" i="1"/>
  <c r="I191" i="1"/>
  <c r="N182" i="1"/>
  <c r="K179" i="1"/>
  <c r="I179" i="1"/>
  <c r="I178" i="1"/>
  <c r="K178" i="1" s="1"/>
  <c r="K177" i="1"/>
  <c r="I177" i="1"/>
  <c r="I176" i="1"/>
  <c r="K176" i="1" s="1"/>
  <c r="N170" i="1"/>
  <c r="I167" i="1"/>
  <c r="K167" i="1" s="1"/>
  <c r="N167" i="1" s="1"/>
  <c r="I164" i="1"/>
  <c r="K164" i="1" s="1"/>
  <c r="K163" i="1"/>
  <c r="I163" i="1"/>
  <c r="I162" i="1"/>
  <c r="K162" i="1" s="1"/>
  <c r="K161" i="1"/>
  <c r="I161" i="1"/>
  <c r="I160" i="1"/>
  <c r="K160" i="1" s="1"/>
  <c r="K159" i="1"/>
  <c r="I159" i="1"/>
  <c r="I157" i="1"/>
  <c r="K157" i="1" s="1"/>
  <c r="K156" i="1"/>
  <c r="I156" i="1"/>
  <c r="I155" i="1"/>
  <c r="K155" i="1" s="1"/>
  <c r="K154" i="1"/>
  <c r="I154" i="1"/>
  <c r="I153" i="1"/>
  <c r="K153" i="1" s="1"/>
  <c r="K152" i="1"/>
  <c r="I152" i="1"/>
  <c r="I151" i="1"/>
  <c r="K151" i="1" s="1"/>
  <c r="K150" i="1"/>
  <c r="I150" i="1"/>
  <c r="I149" i="1"/>
  <c r="K149" i="1" s="1"/>
  <c r="N146" i="1"/>
  <c r="I145" i="1"/>
  <c r="I142" i="1"/>
  <c r="K142" i="1" s="1"/>
  <c r="K141" i="1"/>
  <c r="I141" i="1"/>
  <c r="I140" i="1"/>
  <c r="K140" i="1" s="1"/>
  <c r="K139" i="1"/>
  <c r="I139" i="1"/>
  <c r="I138" i="1"/>
  <c r="K138" i="1" s="1"/>
  <c r="K137" i="1"/>
  <c r="I137" i="1"/>
  <c r="I136" i="1"/>
  <c r="K136" i="1" s="1"/>
  <c r="K135" i="1"/>
  <c r="K134" i="1"/>
  <c r="K128" i="1"/>
  <c r="K127" i="1"/>
  <c r="K126" i="1"/>
  <c r="K125" i="1"/>
  <c r="K124" i="1"/>
  <c r="N131" i="1" s="1"/>
  <c r="K121" i="1"/>
  <c r="K120" i="1"/>
  <c r="K119" i="1"/>
  <c r="K118" i="1"/>
  <c r="K117" i="1"/>
  <c r="K116" i="1"/>
  <c r="K115" i="1"/>
  <c r="N121" i="1" s="1"/>
  <c r="K114" i="1"/>
  <c r="N111" i="1"/>
  <c r="K108" i="1"/>
  <c r="K107" i="1"/>
  <c r="K106" i="1"/>
  <c r="K105" i="1"/>
  <c r="N108" i="1" s="1"/>
  <c r="K100" i="1"/>
  <c r="K99" i="1"/>
  <c r="K98" i="1"/>
  <c r="K97" i="1"/>
  <c r="K96" i="1"/>
  <c r="K95" i="1"/>
  <c r="K94" i="1"/>
  <c r="K93" i="1"/>
  <c r="K92" i="1"/>
  <c r="K91" i="1"/>
  <c r="K90" i="1"/>
  <c r="K89" i="1"/>
  <c r="N102" i="1" s="1"/>
  <c r="R3" i="1" s="1"/>
  <c r="K85" i="1"/>
  <c r="K84" i="1"/>
  <c r="K83" i="1"/>
  <c r="K82" i="1"/>
  <c r="N86" i="1" s="1"/>
  <c r="R2" i="1" s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N60" i="1"/>
  <c r="N50" i="1"/>
  <c r="N47" i="1"/>
  <c r="N38" i="1"/>
  <c r="N31" i="1"/>
  <c r="N27" i="1"/>
  <c r="N20" i="1"/>
  <c r="K11" i="1"/>
  <c r="K10" i="1"/>
  <c r="K9" i="1"/>
  <c r="K8" i="1"/>
  <c r="N11" i="1" s="1"/>
  <c r="L3" i="1"/>
  <c r="L4" i="1" s="1"/>
  <c r="N164" i="1" l="1"/>
  <c r="R5" i="1" s="1"/>
  <c r="N179" i="1"/>
  <c r="R6" i="1" s="1"/>
  <c r="N142" i="1"/>
  <c r="R4" i="1" s="1"/>
  <c r="N205" i="1"/>
  <c r="N222" i="1"/>
  <c r="T1" i="1" s="1"/>
  <c r="R1" i="1"/>
  <c r="R7" i="1"/>
  <c r="N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s.kapcov</author>
    <author>Капцов С.М.</author>
  </authors>
  <commentList>
    <comment ref="F31" authorId="0" shapeId="0" xr:uid="{62FDF08E-93CC-4811-BE5E-44E00624075B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OE 49598-3E100</t>
        </r>
      </text>
    </comment>
    <comment ref="F93" authorId="0" shapeId="0" xr:uid="{9FB27DDD-E401-416E-B687-9F06E892B24B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61306.10
DP-K12
203530
Q4695</t>
        </r>
      </text>
    </comment>
    <comment ref="L118" authorId="0" shapeId="0" xr:uid="{A848845E-1CD5-4568-80FD-0B00D267FDFA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замена масла/фильтров (масл,возд,топл,салон)</t>
        </r>
      </text>
    </comment>
    <comment ref="L121" authorId="0" shapeId="0" xr:uid="{D32EBF4C-F0CC-4DF9-8B27-33564643194D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подшипник ступицы, тяга стаб.пер/зад.
</t>
        </r>
      </text>
    </comment>
    <comment ref="L124" authorId="0" shapeId="0" xr:uid="{C77A8D6C-CAB6-45D7-992F-5194951371F4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замена рул.тяг, наконечников, пыльников</t>
        </r>
      </text>
    </comment>
    <comment ref="L129" authorId="0" shapeId="0" xr:uid="{29D13840-8198-4163-9A3D-B294F81A3EE4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разработка болтов</t>
        </r>
      </text>
    </comment>
    <comment ref="L130" authorId="0" shapeId="0" xr:uid="{226EAC51-2E49-43B4-8018-CFCEE53484E5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разработка гаек под отбойники</t>
        </r>
      </text>
    </comment>
    <comment ref="I135" authorId="0" shapeId="0" xr:uid="{68780C9E-B9FC-482D-80C5-7680CB734FB1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из Москвы</t>
        </r>
      </text>
    </comment>
    <comment ref="L164" authorId="0" shapeId="0" xr:uid="{9AF5668C-FEEB-4035-925F-C71DD5CEDB85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масло + 4 фильтра - 15
тяга стаб. - 5
кардан с/у - 10
диски колодки пер./зад. - 40
разработка 4 направляющих - 20
проточка торм.дисков - 30
итого Максим - 120
в Колядичах:
-замена крестовины, шприцевание крест., балансировка кард.вала - 50</t>
        </r>
      </text>
    </comment>
    <comment ref="L222" authorId="1" shapeId="0" xr:uid="{A6C55479-C15A-45AC-8A4A-F2B5AB984B5B}">
      <text>
        <r>
          <rPr>
            <b/>
            <sz val="9"/>
            <color indexed="81"/>
            <rFont val="Tahoma"/>
            <family val="2"/>
            <charset val="204"/>
          </rPr>
          <t>Капцов С.М.:</t>
        </r>
        <r>
          <rPr>
            <sz val="9"/>
            <color indexed="81"/>
            <rFont val="Tahoma"/>
            <family val="2"/>
            <charset val="204"/>
          </rPr>
          <t xml:space="preserve">
60 инт / 2,61</t>
        </r>
      </text>
    </comment>
    <comment ref="I243" authorId="0" shapeId="0" xr:uid="{A32BBDE7-5CB6-4777-B88C-70A631D3A48C}">
      <text>
        <r>
          <rPr>
            <b/>
            <sz val="9"/>
            <color indexed="81"/>
            <rFont val="Tahoma"/>
            <family val="2"/>
            <charset val="204"/>
          </rPr>
          <t>s.kapcov:</t>
        </r>
        <r>
          <rPr>
            <sz val="9"/>
            <color indexed="81"/>
            <rFont val="Tahoma"/>
            <family val="2"/>
            <charset val="204"/>
          </rPr>
          <t xml:space="preserve">
(33 руб.на 9000)
ОЕ из Москвы - 13$</t>
        </r>
      </text>
    </comment>
  </commentList>
</comments>
</file>

<file path=xl/sharedStrings.xml><?xml version="1.0" encoding="utf-8"?>
<sst xmlns="http://schemas.openxmlformats.org/spreadsheetml/2006/main" count="631" uniqueCount="362">
  <si>
    <t>Kia Sorento (BL), 2006 г.в., 2.5CRDi (174 л.с.), АКПП, VIN: KNEJC524875644805</t>
  </si>
  <si>
    <t>R17 245/65</t>
  </si>
  <si>
    <t>куплен: май 2014, 16 350 $</t>
  </si>
  <si>
    <t>пробег: 186000</t>
  </si>
  <si>
    <t>Дата</t>
  </si>
  <si>
    <t>Пробег</t>
  </si>
  <si>
    <t>Что делал</t>
  </si>
  <si>
    <t>ОЕ</t>
  </si>
  <si>
    <t>Артикул</t>
  </si>
  <si>
    <t>Бренд</t>
  </si>
  <si>
    <t>Цена, BYN</t>
  </si>
  <si>
    <t>Цена, $</t>
  </si>
  <si>
    <t>Кол-во</t>
  </si>
  <si>
    <t>Сумма</t>
  </si>
  <si>
    <t>Работа</t>
  </si>
  <si>
    <t>СТО</t>
  </si>
  <si>
    <t>Итого, $</t>
  </si>
  <si>
    <t>Примечание</t>
  </si>
  <si>
    <t>ТО</t>
  </si>
  <si>
    <t>Масло моторное</t>
  </si>
  <si>
    <t>Eneos 5w30 Premium Hyper</t>
  </si>
  <si>
    <t>Eneos</t>
  </si>
  <si>
    <t>след.замена - 196 000</t>
  </si>
  <si>
    <t>Фильтр масляный</t>
  </si>
  <si>
    <t>OC526</t>
  </si>
  <si>
    <t>KNECHT</t>
  </si>
  <si>
    <t>Фильтр воздушный</t>
  </si>
  <si>
    <t>LX2639</t>
  </si>
  <si>
    <t>Фильтр топливный</t>
  </si>
  <si>
    <t>KC18</t>
  </si>
  <si>
    <t>Виктор, пер.Домашевский, 9</t>
  </si>
  <si>
    <t>Аксессуар</t>
  </si>
  <si>
    <t>Коврики в салон</t>
  </si>
  <si>
    <t>NLC.25.19.210</t>
  </si>
  <si>
    <t>Новлайн</t>
  </si>
  <si>
    <t>Коврик в багажник</t>
  </si>
  <si>
    <t>NLC.25.19.B13</t>
  </si>
  <si>
    <t>Ремонт</t>
  </si>
  <si>
    <t>Замена лобового стекла</t>
  </si>
  <si>
    <t>Иванко</t>
  </si>
  <si>
    <t>Подшипник ступицы прав.пер.</t>
  </si>
  <si>
    <t>Japanparts</t>
  </si>
  <si>
    <t>Трансматик, Алексей</t>
  </si>
  <si>
    <t>Рычаг перед.прав.верх.</t>
  </si>
  <si>
    <t>2224-SORUFR</t>
  </si>
  <si>
    <t>FEBEST</t>
  </si>
  <si>
    <t>Рычаг перед.лев.верх.</t>
  </si>
  <si>
    <t>2223-SORFLH</t>
  </si>
  <si>
    <t>Тяга стабилизатора пер.лев.</t>
  </si>
  <si>
    <t>Тяга стабилизатора пер.прав.</t>
  </si>
  <si>
    <t>2223-SORFRH</t>
  </si>
  <si>
    <t>Фильтр салонный</t>
  </si>
  <si>
    <t>LA444/S</t>
  </si>
  <si>
    <t>Трансматик, Василий</t>
  </si>
  <si>
    <t>Шаровая опора ниж.левая</t>
  </si>
  <si>
    <t>CTR</t>
  </si>
  <si>
    <t>Крестовина карданного вала + разработан кард.вал</t>
  </si>
  <si>
    <t>ASK-SOR</t>
  </si>
  <si>
    <t>ТО + Ремонт</t>
  </si>
  <si>
    <t>след.замена - 204 000</t>
  </si>
  <si>
    <t>Сайлентблоки ниж.рычагов п/л. 4 шт. + крепеж (расписать после замены по-артикульно)</t>
  </si>
  <si>
    <t>Замена шлангов к масляному радиатору</t>
  </si>
  <si>
    <t>шланг масло/темп.стойкий D 10мм, длина 120 см, + 6 хомутов винтовых</t>
  </si>
  <si>
    <t>Развал-схождение передняя ось</t>
  </si>
  <si>
    <t>Шиномонтаж возле Простора</t>
  </si>
  <si>
    <t>Покраска</t>
  </si>
  <si>
    <t>Покраска задней двери (удаление жука под поводком стеклоочистителя + покраска боковины капота - удаление жука)</t>
  </si>
  <si>
    <t>Паша Короленко</t>
  </si>
  <si>
    <t>подобранная краска - в деревне</t>
  </si>
  <si>
    <t>Замена масла в АКПП (без промывки, слил/залил)</t>
  </si>
  <si>
    <t>ATF RED-1</t>
  </si>
  <si>
    <t>4 литра</t>
  </si>
  <si>
    <t>Масленка, Партизанский, 2А</t>
  </si>
  <si>
    <t>след.замена - 240.000 (можно 250.000) проверка каждые 10.000</t>
  </si>
  <si>
    <t>Замена масла в раздаточной коробке</t>
  </si>
  <si>
    <t>Texamatic 7045E</t>
  </si>
  <si>
    <t>Замена масла в дифференциале</t>
  </si>
  <si>
    <t>Axle Z Limited slip 90</t>
  </si>
  <si>
    <t>1 литр</t>
  </si>
  <si>
    <t>след.замена - 240.000, проверка каждые 10.000</t>
  </si>
  <si>
    <t>Замена топливного фильтра</t>
  </si>
  <si>
    <t>KC199</t>
  </si>
  <si>
    <t>Антикор</t>
  </si>
  <si>
    <t>Антикор днище, колесные арки, лонжероны, пороги, скрытые полости</t>
  </si>
  <si>
    <t>DINITROL</t>
  </si>
  <si>
    <t>Евромеханика</t>
  </si>
  <si>
    <t>июль 2015 - на профилактическую обработку</t>
  </si>
  <si>
    <t>Замена лампочки ближ.света левая фара</t>
  </si>
  <si>
    <t>H7 W55</t>
  </si>
  <si>
    <t>Т-34</t>
  </si>
  <si>
    <t>след.замена - 211 700</t>
  </si>
  <si>
    <t>Blue Print ADG02333, M16 x 1.5 сент.06&gt;</t>
  </si>
  <si>
    <t>по VIN KC101/1</t>
  </si>
  <si>
    <t>Замена колец уплотнительных форсунок нижних (толщ. 2 мм., 4 шт.)</t>
  </si>
  <si>
    <t xml:space="preserve">33813-4A000 </t>
  </si>
  <si>
    <t>OE</t>
  </si>
  <si>
    <t>Масло моторное x 4 литра</t>
  </si>
  <si>
    <t>Армтек       След.замена - 220 000</t>
  </si>
  <si>
    <t>код</t>
  </si>
  <si>
    <t>бренд</t>
  </si>
  <si>
    <t>Армтек</t>
  </si>
  <si>
    <t>319223E200</t>
  </si>
  <si>
    <t>Форвард</t>
  </si>
  <si>
    <t>Цепь ГРМ</t>
  </si>
  <si>
    <t>Ruville</t>
  </si>
  <si>
    <t>febi</t>
  </si>
  <si>
    <t>Успокоитель цепи ГРМ</t>
  </si>
  <si>
    <t>*</t>
  </si>
  <si>
    <t>Натяжитель цепи ГРМ</t>
  </si>
  <si>
    <t>Цепь привода распредвала верхняя (ГРМ) 98 звеньев</t>
  </si>
  <si>
    <t>243514A020</t>
  </si>
  <si>
    <t>Автопазл Александр</t>
  </si>
  <si>
    <t>Звездочка/шестерня распредвала (Шкив ремня ГРМ)</t>
  </si>
  <si>
    <t>243314A000</t>
  </si>
  <si>
    <t>Натяжитель верхней цепи</t>
  </si>
  <si>
    <t>243804A030</t>
  </si>
  <si>
    <t>Башмак-натяжитель верхней цепи (Успокоитель/Рычаг цепи привода ГРМ (гидронатяжителя цепи)</t>
  </si>
  <si>
    <t>243864A030</t>
  </si>
  <si>
    <t>Направляющая (Башмак цепи привода ГРМ)</t>
  </si>
  <si>
    <t>243774A030</t>
  </si>
  <si>
    <t>Натяжитель нижней цепи привода ГРМ</t>
  </si>
  <si>
    <t>233604A030</t>
  </si>
  <si>
    <t>Натяжитель средней цепи привода ГРМ</t>
  </si>
  <si>
    <t>243704A030</t>
  </si>
  <si>
    <t>Герметик</t>
  </si>
  <si>
    <t>VR</t>
  </si>
  <si>
    <t>Ролик ремня генератора</t>
  </si>
  <si>
    <t>2287D4CB</t>
  </si>
  <si>
    <t>Febest</t>
  </si>
  <si>
    <t>T-34 - Валерий Каптур</t>
  </si>
  <si>
    <t>След.замена - 227 000</t>
  </si>
  <si>
    <t>Говака</t>
  </si>
  <si>
    <t>След.замена - 233 200</t>
  </si>
  <si>
    <t>Форвард (фильтр чистый - можно поставить на зиму)</t>
  </si>
  <si>
    <t>Диски торм.зад.</t>
  </si>
  <si>
    <t>ADG043146</t>
  </si>
  <si>
    <t>BluePrint</t>
  </si>
  <si>
    <t>Шате</t>
  </si>
  <si>
    <t>Колодки торм.зад.</t>
  </si>
  <si>
    <t>1042.02</t>
  </si>
  <si>
    <t>Remsa</t>
  </si>
  <si>
    <t>ШРУС наруж.</t>
  </si>
  <si>
    <t>2210-016A54</t>
  </si>
  <si>
    <t>восстановлен</t>
  </si>
  <si>
    <t>СТО Ольшевского</t>
  </si>
  <si>
    <t>Тяга стабилизатора зад.прав.</t>
  </si>
  <si>
    <t>33369.01</t>
  </si>
  <si>
    <t>LMI</t>
  </si>
  <si>
    <t>Колодки барабанные ручника</t>
  </si>
  <si>
    <t>LS2048  [583503ED01]</t>
  </si>
  <si>
    <t>Delphi</t>
  </si>
  <si>
    <t>С/б перед.амортиз.</t>
  </si>
  <si>
    <t>TAB-551</t>
  </si>
  <si>
    <t>авторынок</t>
  </si>
  <si>
    <t>Разработан механизм ручника</t>
  </si>
  <si>
    <t>Разработаны скобы суппорта перед/зад.</t>
  </si>
  <si>
    <t>Максим Игнатенко (Щомыслица)</t>
  </si>
  <si>
    <t xml:space="preserve">Головное устройство </t>
  </si>
  <si>
    <t>Pioneer</t>
  </si>
  <si>
    <t>Камера заднего вида</t>
  </si>
  <si>
    <t>Рамка под головное устройство</t>
  </si>
  <si>
    <t>Провода-переходник</t>
  </si>
  <si>
    <t>megasound</t>
  </si>
  <si>
    <t>Подшипник ступицы перед.лев.</t>
  </si>
  <si>
    <t>R189.07</t>
  </si>
  <si>
    <t>SNR</t>
  </si>
  <si>
    <t>Артем Нестерович</t>
  </si>
  <si>
    <t>След.замена - 240 150</t>
  </si>
  <si>
    <t>AP182/10</t>
  </si>
  <si>
    <t>Filtron</t>
  </si>
  <si>
    <t>K1289-2x</t>
  </si>
  <si>
    <t>замена масла/фильтров (масл,возд,топл,салон)</t>
  </si>
  <si>
    <t>Подшипник ступицы перед.прав.</t>
  </si>
  <si>
    <t>VKBA3935</t>
  </si>
  <si>
    <t>SKF</t>
  </si>
  <si>
    <t>33367 01</t>
  </si>
  <si>
    <t>Тяга стабилизатора зад.лев.</t>
  </si>
  <si>
    <t>2223-SORRLH</t>
  </si>
  <si>
    <t>подшипник ступицы, тяга стаб.пер/зад.</t>
  </si>
  <si>
    <t>Тяга рулевая лев.</t>
  </si>
  <si>
    <t>57732 3E010</t>
  </si>
  <si>
    <t>34334 01</t>
  </si>
  <si>
    <t>Тяга рулевая прав.</t>
  </si>
  <si>
    <t>57731 3E010</t>
  </si>
  <si>
    <t>34333 01</t>
  </si>
  <si>
    <t>Пыльник рулевой тяги</t>
  </si>
  <si>
    <t>0K552 32125</t>
  </si>
  <si>
    <t>52335</t>
  </si>
  <si>
    <t>Malo</t>
  </si>
  <si>
    <t>Наконечники рул.тяги прав.</t>
  </si>
  <si>
    <t>56820 3E900</t>
  </si>
  <si>
    <t>33359 01</t>
  </si>
  <si>
    <t>Наконечники рул.тяги лев.</t>
  </si>
  <si>
    <t>56820 3E000</t>
  </si>
  <si>
    <t>33360 01</t>
  </si>
  <si>
    <t>Болты развальные разработать</t>
  </si>
  <si>
    <t>Разработка гаек под отбойники (задн.)</t>
  </si>
  <si>
    <t>Развал-схождение</t>
  </si>
  <si>
    <t>!!!Болт прав.сторона с обратной резьбой (предупредить на СТО)</t>
  </si>
  <si>
    <t>Датчик ABS пер.л.</t>
  </si>
  <si>
    <t>956713E300</t>
  </si>
  <si>
    <t>Москва</t>
  </si>
  <si>
    <t>Чашка отбойника зад.амортизатора</t>
  </si>
  <si>
    <t>551613E500</t>
  </si>
  <si>
    <t>55161 3E500</t>
  </si>
  <si>
    <t>Отбойники задней балки</t>
  </si>
  <si>
    <t>55151-3E000</t>
  </si>
  <si>
    <t>KDSORRR</t>
  </si>
  <si>
    <t>Щетки стеклоочистителя крючок, (длина 600 см./ AR 24 U  + 450 см./ AR 18 U)</t>
  </si>
  <si>
    <t>к-кт</t>
  </si>
  <si>
    <t>BOSCH</t>
  </si>
  <si>
    <t>C2941</t>
  </si>
  <si>
    <t>MANN</t>
  </si>
  <si>
    <t>Масло моторное x 6 литров</t>
  </si>
  <si>
    <t>ZIC X7 Diesel 5W-30</t>
  </si>
  <si>
    <t>ZIC</t>
  </si>
  <si>
    <t>след.замена - 247 600</t>
  </si>
  <si>
    <t>Ангалевич</t>
  </si>
  <si>
    <t>Подшипник ступицы задний правый</t>
  </si>
  <si>
    <t>52371-3E000</t>
  </si>
  <si>
    <t>713 6265 80</t>
  </si>
  <si>
    <t>FAG</t>
  </si>
  <si>
    <t>Кольцо</t>
  </si>
  <si>
    <t>523153E000</t>
  </si>
  <si>
    <t>Женя, Максим Игнатенко (Щомыслица)</t>
  </si>
  <si>
    <t>след.замена - 255 000</t>
  </si>
  <si>
    <t>OP632/7</t>
  </si>
  <si>
    <t>GB-936</t>
  </si>
  <si>
    <t>BIG Filter</t>
  </si>
  <si>
    <t>GB-9958</t>
  </si>
  <si>
    <t>548113E110</t>
  </si>
  <si>
    <t>Диски торм.пер.</t>
  </si>
  <si>
    <t>6992.10</t>
  </si>
  <si>
    <t>Колодки торм.пер.</t>
  </si>
  <si>
    <t>BB0307</t>
  </si>
  <si>
    <t>Blitz</t>
  </si>
  <si>
    <t>BB0308</t>
  </si>
  <si>
    <t>Крестовина карданного вала</t>
  </si>
  <si>
    <t>подбирали на спец.СТО (возможно придется ремонтировать/менять кардан)</t>
  </si>
  <si>
    <t>Р-кт направляющих суппорта пер.</t>
  </si>
  <si>
    <t>Frenkit</t>
  </si>
  <si>
    <t>Р-кт направляющих суппорта зад.</t>
  </si>
  <si>
    <t>810002 универсальн. (810094 - модельный)</t>
  </si>
  <si>
    <t>Втулки направляющих пер.суппорта (4+2 шт.)</t>
  </si>
  <si>
    <t>Autofren</t>
  </si>
  <si>
    <t>на Малиновке подобрали вручную</t>
  </si>
  <si>
    <t>Направляющая суппорта</t>
  </si>
  <si>
    <t>581623E500</t>
  </si>
  <si>
    <t>Шате (на одну сторону - новые направляющие, на другую - старые почистить)</t>
  </si>
  <si>
    <t>581613E500</t>
  </si>
  <si>
    <t>https://xado.by/revitalizanti/klassicheskie-revitalizanti/dlya-kpp-i-reduktorov</t>
  </si>
  <si>
    <t>добавить в редуктор</t>
  </si>
  <si>
    <t>Xado</t>
  </si>
  <si>
    <t>Р-кт суппорта зад.полный</t>
  </si>
  <si>
    <t>Женя (Щомыслица)</t>
  </si>
  <si>
    <t>Разработка трапеции стеклоочистителя</t>
  </si>
  <si>
    <t>Полировка фар</t>
  </si>
  <si>
    <t>Полировка фар и фонарей</t>
  </si>
  <si>
    <t>ПрофШинТор</t>
  </si>
  <si>
    <t>след.замена - 262 200</t>
  </si>
  <si>
    <t>Шины</t>
  </si>
  <si>
    <t>Шины зима</t>
  </si>
  <si>
    <t>Triangle TR797 245/65R17 111T</t>
  </si>
  <si>
    <t>Triangle</t>
  </si>
  <si>
    <t>Автосеть через Пашу Фригу</t>
  </si>
  <si>
    <t>Шиномонтаж</t>
  </si>
  <si>
    <t>СТО ТЕХХ</t>
  </si>
  <si>
    <t>Ремонт кузова</t>
  </si>
  <si>
    <t>Переварка арок + жуки на капоте + жуки на крыше + ручка двери</t>
  </si>
  <si>
    <t>Замена АКБ</t>
  </si>
  <si>
    <t>Varta</t>
  </si>
  <si>
    <t>Замена лампы ближ.света прав.фары</t>
  </si>
  <si>
    <t>H7/12/55w</t>
  </si>
  <si>
    <t>Bosch</t>
  </si>
  <si>
    <t>Замена лампы зад.прав.фонаря</t>
  </si>
  <si>
    <t>Трос капота. Замена</t>
  </si>
  <si>
    <t>811903E001 </t>
  </si>
  <si>
    <t>Дифференциал передний. Замена прокладки + замена масла + хомуты для шлангов ГУР</t>
  </si>
  <si>
    <t>Масло трансмиссионое GL-5</t>
  </si>
  <si>
    <t>Swag</t>
  </si>
  <si>
    <t>Ремонт + ТО</t>
  </si>
  <si>
    <t>след замена - 269 000</t>
  </si>
  <si>
    <t>26310-4A000</t>
  </si>
  <si>
    <t>W930/26</t>
  </si>
  <si>
    <t>N1340311</t>
  </si>
  <si>
    <t>Nipparts</t>
  </si>
  <si>
    <t>С/б передних нижних рычагов передние</t>
  </si>
  <si>
    <t>54580 3E100</t>
  </si>
  <si>
    <t>1201-010</t>
  </si>
  <si>
    <t>Akitaka</t>
  </si>
  <si>
    <t>Жидкость тормозная</t>
  </si>
  <si>
    <t xml:space="preserve">TOTAL HBF 4 (0,5L) </t>
  </si>
  <si>
    <t>Total</t>
  </si>
  <si>
    <t>04500-00140 допуск API GL-3</t>
  </si>
  <si>
    <t>Трансмиссионное масло Ravenol ATF RED-1 4л</t>
  </si>
  <si>
    <t>Ravenol</t>
  </si>
  <si>
    <t>160 р. / 2,43 = 66 $</t>
  </si>
  <si>
    <t>след.замена - 312 000 проверка каждые 10.000</t>
  </si>
  <si>
    <t>310 р. /2,43 = 128 $</t>
  </si>
  <si>
    <t>Амортизатор капота</t>
  </si>
  <si>
    <t>81181 3E010</t>
  </si>
  <si>
    <t>Lesjofors</t>
  </si>
  <si>
    <t>Крестовина карданного вала зад.замена, крестовмна передняя - разработка</t>
  </si>
  <si>
    <t>камера заднего вида</t>
  </si>
  <si>
    <t>SHO-ME CA-9204 LED</t>
  </si>
  <si>
    <t>империя звука</t>
  </si>
  <si>
    <t>замена камеры, вывод кабеля  AUX</t>
  </si>
  <si>
    <t>https://megasound.by/</t>
  </si>
  <si>
    <t>повторная обработка - октябрь 2021</t>
  </si>
  <si>
    <t>172610 (6 литров)</t>
  </si>
  <si>
    <t>след замена - 278000</t>
  </si>
  <si>
    <t>132610 (1 литр)</t>
  </si>
  <si>
    <t>H10W19</t>
  </si>
  <si>
    <t>Hengst</t>
  </si>
  <si>
    <t xml:space="preserve">Лампа стоп-сигнала </t>
  </si>
  <si>
    <t>P21/5W</t>
  </si>
  <si>
    <t>Проверить форсунки</t>
  </si>
  <si>
    <t>Крестовина карданного вала зад.</t>
  </si>
  <si>
    <t>замена</t>
  </si>
  <si>
    <t>Редуктор заднего моста</t>
  </si>
  <si>
    <t>ремонт</t>
  </si>
  <si>
    <t>??? Люфт в раздатке</t>
  </si>
  <si>
    <t>Texamatic 7045E - 16 руб.</t>
  </si>
  <si>
    <t>Трубки тормозные перед.замена</t>
  </si>
  <si>
    <t>С/б задней нижней продольной тяги передний</t>
  </si>
  <si>
    <t>55280-3E100</t>
  </si>
  <si>
    <t>12-06-2380</t>
  </si>
  <si>
    <t>Точка опоры</t>
  </si>
  <si>
    <t>Л-Авто</t>
  </si>
  <si>
    <t>12-06-2380 заказать по Точке опоры в Минске</t>
  </si>
  <si>
    <t>подъехать на Вебасто (по бресткой трассе)</t>
  </si>
  <si>
    <t>http://hol.by/item/50.html</t>
  </si>
  <si>
    <t>заправка кондиционера</t>
  </si>
  <si>
    <t>EGR</t>
  </si>
  <si>
    <t>ремонт компрессора (б/у примерно 150 долл)</t>
  </si>
  <si>
    <t>можно так - заправить, поездить - если потребуется ремонт - после ремонта заправка бесплатно</t>
  </si>
  <si>
    <t>Шприцевание крестовин карданного вала</t>
  </si>
  <si>
    <t>Дальний свет переключатель не фиксируется</t>
  </si>
  <si>
    <t>изношен</t>
  </si>
  <si>
    <t>Подвесной подшипник полуоси изношен (для замены придется испортить внутренний ШРУС)</t>
  </si>
  <si>
    <t>Колодки перед.износ., разработать направляющие суппортов</t>
  </si>
  <si>
    <t>Крестовина перед.изношена</t>
  </si>
  <si>
    <t>Люфт задней раздатки</t>
  </si>
  <si>
    <t>когда развалится и потечет - ремонтировать</t>
  </si>
  <si>
    <t>Течь АКПП шланги - разобраться</t>
  </si>
  <si>
    <t>Мусор в топливном фильтре при замене ?Чистка топливного бака (50-100 $)</t>
  </si>
  <si>
    <t>Рулевая рейка - контроль уровня тормозной жидкости</t>
  </si>
  <si>
    <r>
      <t>Если ты меняешь ТОПЛИВНЫЙ фильтр! Установи его в штатное место ,потом подсоедини шланг от бака.Прокачивай помпочкой (качков 15-20 должно пойти топливо) Не по жалей солярки прокачай чтобы прошли пузырьки.</t>
    </r>
    <r>
      <rPr>
        <sz val="11"/>
        <color rgb="FFFF0000"/>
        <rFont val="Calibri"/>
        <family val="2"/>
        <charset val="204"/>
        <scheme val="minor"/>
      </rPr>
      <t/>
    </r>
  </si>
  <si>
    <t>ВНИМАНИЕ!!!Только не вздумай откручивать болтик для стравливания воздуха!!!!Не трогать !!!!</t>
  </si>
  <si>
    <t>Сайлентблоки нижних рычагов стоят по 20$ за штуку. Сходразвальные болты 11-12$. Это оригинал. Оналоги дешевле.</t>
  </si>
  <si>
    <t>Внимание!:- На рестайлах сайлентблоки нижних рычагов с дырками-прорезями. При установке их нужно, обязательно, правильно установить, относительно оси. На СТО нифига не знают, как именно. Более того - оф представитель киа тоже не знает!</t>
  </si>
  <si>
    <t>При неправильной установке хлебанете неприятностей!</t>
  </si>
  <si>
    <t>Как должны стоять сайлентблоки нижних, передних рычагов, на рестайле:</t>
  </si>
  <si>
    <t>передний конец, прорезь в сайлентблоке вот так "||" относительно оси рычага, задний конец вот так "=" относительно оси</t>
  </si>
  <si>
    <t>https://www.drive2.ru/l/10584305/</t>
  </si>
  <si>
    <t>ремонт редуктора заднего моста</t>
  </si>
  <si>
    <t>http://sorento.kia-club.ru/forum/viewtopic.php?f=3&amp;t=32430</t>
  </si>
  <si>
    <t>ENEOS 5W30 (4L) Premium Hyper_!масло моторное\ACEA: A3/B4/C3 MB229.31(51); VW505.01(05); BMW LL-04</t>
  </si>
  <si>
    <t>жидкость в ГУР</t>
  </si>
  <si>
    <t>ATF 320 Mobil</t>
  </si>
  <si>
    <t>AQ3 AUTOMATIC TRANSMISSION FLUID от Comma Oil &amp; Chemicals ltd. (ок 9у.е. за литр)</t>
  </si>
  <si>
    <t>Hyundai/Kia 0310000100 PSF-3 - п/синтетика (цвет красный)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</si>
</sst>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0"/>
      <color rgb="FF000000"/>
      <name val="Tahoma"/>
      <family val="2"/>
      <charset val="204"/>
    </font>
    <font>
      <sz val="10"/>
      <color rgb="FF222222"/>
      <name val="Arial"/>
      <family val="2"/>
      <charset val="204"/>
    </font>
    <font>
      <u/>
      <sz val="11"/>
      <color theme="10"/>
      <name val="Calibri"/>
      <family val="2"/>
      <charset val="204"/>
    </font>
    <font>
      <b/>
      <sz val="1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/>
    <xf numFmtId="3" fontId="4" fillId="2" borderId="0" xfId="0" applyNumberFormat="1" applyFont="1" applyFill="1"/>
    <xf numFmtId="0" fontId="5" fillId="0" borderId="0" xfId="0" applyFont="1"/>
    <xf numFmtId="3" fontId="5" fillId="0" borderId="0" xfId="0" applyNumberFormat="1" applyFont="1"/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/>
    <xf numFmtId="4" fontId="4" fillId="0" borderId="1" xfId="0" applyNumberFormat="1" applyFont="1" applyBorder="1"/>
    <xf numFmtId="3" fontId="3" fillId="0" borderId="0" xfId="0" applyNumberFormat="1" applyFont="1" applyAlignment="1">
      <alignment horizontal="center"/>
    </xf>
    <xf numFmtId="14" fontId="3" fillId="0" borderId="1" xfId="0" applyNumberFormat="1" applyFont="1" applyBorder="1"/>
    <xf numFmtId="14" fontId="3" fillId="0" borderId="0" xfId="0" applyNumberFormat="1" applyFont="1"/>
    <xf numFmtId="0" fontId="0" fillId="0" borderId="1" xfId="0" applyBorder="1"/>
    <xf numFmtId="4" fontId="0" fillId="0" borderId="1" xfId="0" applyNumberFormat="1" applyBorder="1"/>
    <xf numFmtId="4" fontId="4" fillId="0" borderId="0" xfId="0" applyNumberFormat="1" applyFont="1"/>
    <xf numFmtId="4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3" fillId="0" borderId="4" xfId="0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3" fontId="3" fillId="0" borderId="0" xfId="0" applyNumberFormat="1" applyFont="1"/>
    <xf numFmtId="49" fontId="0" fillId="0" borderId="1" xfId="0" applyNumberFormat="1" applyBorder="1"/>
    <xf numFmtId="49" fontId="0" fillId="0" borderId="0" xfId="0" applyNumberFormat="1"/>
    <xf numFmtId="0" fontId="3" fillId="0" borderId="2" xfId="0" applyFont="1" applyBorder="1"/>
    <xf numFmtId="14" fontId="3" fillId="0" borderId="2" xfId="0" applyNumberFormat="1" applyFont="1" applyBorder="1"/>
    <xf numFmtId="3" fontId="3" fillId="0" borderId="2" xfId="0" applyNumberFormat="1" applyFont="1" applyBorder="1" applyAlignment="1">
      <alignment horizontal="center"/>
    </xf>
    <xf numFmtId="49" fontId="0" fillId="0" borderId="2" xfId="0" applyNumberFormat="1" applyBorder="1"/>
    <xf numFmtId="4" fontId="3" fillId="0" borderId="2" xfId="0" applyNumberFormat="1" applyFont="1" applyBorder="1"/>
    <xf numFmtId="4" fontId="4" fillId="0" borderId="2" xfId="0" applyNumberFormat="1" applyFont="1" applyBorder="1"/>
    <xf numFmtId="0" fontId="4" fillId="0" borderId="0" xfId="0" applyFont="1"/>
    <xf numFmtId="0" fontId="2" fillId="0" borderId="0" xfId="0" applyFont="1"/>
    <xf numFmtId="11" fontId="3" fillId="0" borderId="1" xfId="0" applyNumberFormat="1" applyFont="1" applyBorder="1"/>
    <xf numFmtId="49" fontId="7" fillId="0" borderId="1" xfId="0" applyNumberFormat="1" applyFont="1" applyBorder="1"/>
    <xf numFmtId="0" fontId="8" fillId="0" borderId="0" xfId="0" applyFont="1"/>
    <xf numFmtId="0" fontId="8" fillId="0" borderId="1" xfId="0" applyFont="1" applyBorder="1"/>
    <xf numFmtId="2" fontId="3" fillId="0" borderId="1" xfId="0" applyNumberFormat="1" applyFont="1" applyBorder="1"/>
    <xf numFmtId="0" fontId="9" fillId="0" borderId="1" xfId="0" applyFont="1" applyBorder="1"/>
    <xf numFmtId="49" fontId="8" fillId="0" borderId="1" xfId="0" applyNumberFormat="1" applyFont="1" applyBorder="1"/>
    <xf numFmtId="0" fontId="10" fillId="0" borderId="1" xfId="1" applyFill="1" applyBorder="1" applyAlignment="1" applyProtection="1"/>
    <xf numFmtId="0" fontId="10" fillId="0" borderId="0" xfId="1" applyFill="1" applyBorder="1" applyAlignment="1" applyProtection="1"/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11" fontId="0" fillId="0" borderId="0" xfId="0" applyNumberFormat="1"/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4" fontId="4" fillId="0" borderId="1" xfId="0" applyNumberFormat="1" applyFont="1" applyBorder="1" applyAlignment="1">
      <alignment horizontal="center"/>
    </xf>
    <xf numFmtId="0" fontId="3" fillId="0" borderId="4" xfId="0" applyFont="1" applyBorder="1"/>
    <xf numFmtId="49" fontId="4" fillId="0" borderId="0" xfId="0" applyNumberFormat="1" applyFont="1"/>
    <xf numFmtId="3" fontId="0" fillId="0" borderId="0" xfId="0" applyNumberFormat="1" applyAlignment="1">
      <alignment horizontal="center"/>
    </xf>
    <xf numFmtId="0" fontId="12" fillId="0" borderId="0" xfId="0" applyFont="1"/>
    <xf numFmtId="0" fontId="10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mmaoil.ru/catalog/oil/element.php?IBLOCK_ID=5&amp;SECTION_ID=7&amp;ELEMENT_ID=49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sorento.kia-club.ru/forum/viewtopic.php?f=3&amp;t=32430" TargetMode="External"/><Relationship Id="rId1" Type="http://schemas.openxmlformats.org/officeDocument/2006/relationships/hyperlink" Target="https://xado.by/revitalizanti/klassicheskie-revitalizanti/dlya-kpp-i-reduktorov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rive2.ru/l/105843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0CBC-E99F-44DD-B352-447D793ED5CA}">
  <sheetPr>
    <tabColor rgb="FFFFFF00"/>
  </sheetPr>
  <dimension ref="A1:AA288"/>
  <sheetViews>
    <sheetView tabSelected="1" zoomScale="95" zoomScaleNormal="95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0.42578125" bestFit="1" customWidth="1"/>
    <col min="3" max="3" width="9.28515625" style="7" bestFit="1" customWidth="1"/>
    <col min="4" max="4" width="18.7109375" customWidth="1"/>
    <col min="5" max="5" width="14.5703125" customWidth="1"/>
    <col min="6" max="6" width="18.42578125" customWidth="1"/>
    <col min="7" max="8" width="9.7109375" customWidth="1"/>
    <col min="9" max="9" width="13.7109375" style="8" customWidth="1"/>
    <col min="10" max="10" width="7" customWidth="1"/>
    <col min="11" max="11" width="13.42578125" style="8" customWidth="1"/>
    <col min="12" max="12" width="15" customWidth="1"/>
    <col min="13" max="13" width="19.85546875" customWidth="1"/>
    <col min="14" max="14" width="11.28515625" style="8" customWidth="1"/>
    <col min="15" max="15" width="19.7109375" customWidth="1"/>
    <col min="16" max="16" width="10.5703125" customWidth="1"/>
    <col min="17" max="17" width="8.5703125" customWidth="1"/>
    <col min="22" max="22" width="15.28515625" customWidth="1"/>
  </cols>
  <sheetData>
    <row r="1" spans="1:20" x14ac:dyDescent="0.25">
      <c r="A1" s="1" t="s">
        <v>0</v>
      </c>
      <c r="B1" s="1"/>
      <c r="C1" s="2"/>
      <c r="D1" s="1"/>
      <c r="E1" s="1"/>
      <c r="F1" s="1"/>
      <c r="G1" s="1"/>
      <c r="H1" s="1"/>
      <c r="I1" s="3"/>
      <c r="J1" s="1"/>
      <c r="K1" s="3"/>
      <c r="L1" s="1">
        <v>22200</v>
      </c>
      <c r="M1" s="1"/>
      <c r="N1" s="4">
        <f>N11+N13+N14+N17+N20+N27+N28+N31+N38+N47+N50+N60+N41+N79+N86+N102+N108+N111+N121+N131+N142+N146+N164+N167+N170+N173+N179+N182+N184+N186+N187+N192+N205+N209+N214+N222+N212</f>
        <v>5855.7038431031069</v>
      </c>
      <c r="O1" s="1"/>
      <c r="P1" s="1"/>
      <c r="Q1" s="5">
        <v>2014</v>
      </c>
      <c r="R1" s="6">
        <f>N11+N13+N14+N17+N20+N27+N28+N31+N38+N41+N47+N50+N60</f>
        <v>1680.9766990291259</v>
      </c>
      <c r="S1" s="6">
        <v>2021</v>
      </c>
      <c r="T1" s="6">
        <f>N222+N214</f>
        <v>97.206436781609185</v>
      </c>
    </row>
    <row r="2" spans="1:20" x14ac:dyDescent="0.25">
      <c r="A2" s="1" t="s">
        <v>1</v>
      </c>
      <c r="B2" s="1"/>
      <c r="C2" s="2"/>
      <c r="D2" s="1"/>
      <c r="E2" s="1"/>
      <c r="F2" s="1"/>
      <c r="G2" s="1"/>
      <c r="H2" s="1"/>
      <c r="I2" s="3"/>
      <c r="J2" s="1"/>
      <c r="K2" s="3"/>
      <c r="L2" s="1">
        <v>7000</v>
      </c>
      <c r="M2" s="1"/>
      <c r="N2" s="3">
        <v>16350</v>
      </c>
      <c r="O2" s="1"/>
      <c r="P2" s="1"/>
      <c r="Q2" s="5">
        <v>2015</v>
      </c>
      <c r="R2" s="6">
        <f>N79+N86</f>
        <v>687.04</v>
      </c>
      <c r="S2" s="6"/>
    </row>
    <row r="3" spans="1:20" x14ac:dyDescent="0.25">
      <c r="A3" s="1" t="s">
        <v>2</v>
      </c>
      <c r="B3" s="1"/>
      <c r="C3" s="2"/>
      <c r="D3" s="1"/>
      <c r="E3" s="1"/>
      <c r="F3" s="1"/>
      <c r="G3" s="1"/>
      <c r="H3" s="1"/>
      <c r="I3" s="3"/>
      <c r="J3" s="1"/>
      <c r="K3" s="3"/>
      <c r="L3" s="1">
        <f>L1-L2</f>
        <v>15200</v>
      </c>
      <c r="M3" s="1"/>
      <c r="N3" s="3"/>
      <c r="O3" s="1"/>
      <c r="P3" s="1"/>
      <c r="Q3" s="5">
        <v>2016</v>
      </c>
      <c r="R3" s="6">
        <f>N102+N108</f>
        <v>764.26</v>
      </c>
      <c r="S3" s="6"/>
    </row>
    <row r="4" spans="1:20" x14ac:dyDescent="0.25">
      <c r="A4" s="1" t="s">
        <v>3</v>
      </c>
      <c r="B4" s="1"/>
      <c r="C4" s="2"/>
      <c r="D4" s="1"/>
      <c r="E4" s="1"/>
      <c r="F4" s="1"/>
      <c r="G4" s="1"/>
      <c r="H4" s="1"/>
      <c r="I4" s="3"/>
      <c r="J4" s="1"/>
      <c r="K4" s="3"/>
      <c r="L4" s="1">
        <f>L3/7</f>
        <v>2171.4285714285716</v>
      </c>
      <c r="M4" s="1"/>
      <c r="N4" s="3"/>
      <c r="O4" s="1"/>
      <c r="P4" s="1"/>
      <c r="Q4" s="5">
        <v>2017</v>
      </c>
      <c r="R4" s="6">
        <f>N111+N121+N131+N142</f>
        <v>524.54095477386932</v>
      </c>
      <c r="S4" s="6"/>
    </row>
    <row r="5" spans="1:20" x14ac:dyDescent="0.25">
      <c r="A5" s="1"/>
      <c r="B5" s="1"/>
      <c r="C5" s="2"/>
      <c r="D5" s="1"/>
      <c r="E5" s="1"/>
      <c r="F5" s="1"/>
      <c r="G5" s="1"/>
      <c r="H5" s="1"/>
      <c r="I5" s="3"/>
      <c r="J5" s="1"/>
      <c r="K5" s="3"/>
      <c r="L5" s="1"/>
      <c r="M5" s="1"/>
      <c r="N5" s="3"/>
      <c r="O5" s="1"/>
      <c r="P5" s="1"/>
      <c r="Q5" s="5">
        <v>2018</v>
      </c>
      <c r="R5" s="6">
        <f>N146+N164</f>
        <v>527.72660762418172</v>
      </c>
    </row>
    <row r="6" spans="1:20" x14ac:dyDescent="0.25">
      <c r="P6" s="1"/>
      <c r="Q6" s="5">
        <v>2019</v>
      </c>
      <c r="R6" s="6">
        <f>N167+N170+N173+N179+N182+N184</f>
        <v>828.14978354978348</v>
      </c>
    </row>
    <row r="7" spans="1:20" x14ac:dyDescent="0.25">
      <c r="A7" s="9"/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10" t="s">
        <v>10</v>
      </c>
      <c r="I7" s="10" t="s">
        <v>11</v>
      </c>
      <c r="J7" s="9" t="s">
        <v>12</v>
      </c>
      <c r="K7" s="10" t="s">
        <v>13</v>
      </c>
      <c r="L7" s="9" t="s">
        <v>14</v>
      </c>
      <c r="M7" s="9" t="s">
        <v>15</v>
      </c>
      <c r="N7" s="10" t="s">
        <v>16</v>
      </c>
      <c r="O7" s="9" t="s">
        <v>17</v>
      </c>
      <c r="P7" s="1"/>
      <c r="Q7" s="5">
        <v>2020</v>
      </c>
      <c r="R7" s="6">
        <f>N186+N187+N192+N205+N209+N214+N212</f>
        <v>763.88336134453789</v>
      </c>
    </row>
    <row r="8" spans="1:20" x14ac:dyDescent="0.25">
      <c r="A8" s="11" t="s">
        <v>18</v>
      </c>
      <c r="B8" s="11"/>
      <c r="C8" s="12">
        <v>188200</v>
      </c>
      <c r="D8" s="11" t="s">
        <v>19</v>
      </c>
      <c r="E8" s="11"/>
      <c r="F8" s="11" t="s">
        <v>20</v>
      </c>
      <c r="G8" s="11" t="s">
        <v>21</v>
      </c>
      <c r="H8" s="11"/>
      <c r="I8" s="13">
        <v>25.88</v>
      </c>
      <c r="J8" s="11">
        <v>2</v>
      </c>
      <c r="K8" s="13">
        <f>I8*J8</f>
        <v>51.76</v>
      </c>
      <c r="L8" s="13"/>
      <c r="M8" s="11"/>
      <c r="N8" s="13"/>
      <c r="O8" s="11" t="s">
        <v>22</v>
      </c>
      <c r="P8" s="1"/>
      <c r="Q8" s="1"/>
    </row>
    <row r="9" spans="1:20" x14ac:dyDescent="0.25">
      <c r="A9" s="11"/>
      <c r="B9" s="11"/>
      <c r="C9" s="12"/>
      <c r="D9" s="11" t="s">
        <v>23</v>
      </c>
      <c r="E9" s="11"/>
      <c r="F9" s="11" t="s">
        <v>24</v>
      </c>
      <c r="G9" s="11" t="s">
        <v>25</v>
      </c>
      <c r="H9" s="11"/>
      <c r="I9" s="13">
        <v>6.36</v>
      </c>
      <c r="J9" s="11">
        <v>1</v>
      </c>
      <c r="K9" s="13">
        <f t="shared" ref="K9:K11" si="0">I9*J9</f>
        <v>6.36</v>
      </c>
      <c r="L9" s="13"/>
      <c r="M9" s="11"/>
      <c r="N9" s="13"/>
      <c r="O9" s="11"/>
      <c r="P9" s="1"/>
      <c r="Q9" s="1"/>
    </row>
    <row r="10" spans="1:20" x14ac:dyDescent="0.25">
      <c r="A10" s="11"/>
      <c r="B10" s="11"/>
      <c r="C10" s="12"/>
      <c r="D10" s="11" t="s">
        <v>26</v>
      </c>
      <c r="E10" s="11"/>
      <c r="F10" s="11" t="s">
        <v>27</v>
      </c>
      <c r="G10" s="11" t="s">
        <v>25</v>
      </c>
      <c r="H10" s="11"/>
      <c r="I10" s="13">
        <v>18.420000000000002</v>
      </c>
      <c r="J10" s="11">
        <v>1</v>
      </c>
      <c r="K10" s="13">
        <f t="shared" si="0"/>
        <v>18.420000000000002</v>
      </c>
      <c r="L10" s="13"/>
      <c r="M10" s="11"/>
      <c r="N10" s="13"/>
      <c r="O10" s="11"/>
      <c r="P10" s="1"/>
      <c r="Q10" s="1"/>
    </row>
    <row r="11" spans="1:20" x14ac:dyDescent="0.25">
      <c r="A11" s="11"/>
      <c r="B11" s="11"/>
      <c r="C11" s="12"/>
      <c r="D11" s="11" t="s">
        <v>28</v>
      </c>
      <c r="E11" s="11"/>
      <c r="F11" s="11" t="s">
        <v>29</v>
      </c>
      <c r="G11" s="11" t="s">
        <v>25</v>
      </c>
      <c r="H11" s="11"/>
      <c r="I11" s="13">
        <v>11.5</v>
      </c>
      <c r="J11" s="11">
        <v>1</v>
      </c>
      <c r="K11" s="13">
        <f t="shared" si="0"/>
        <v>11.5</v>
      </c>
      <c r="L11" s="13">
        <v>40</v>
      </c>
      <c r="M11" s="11" t="s">
        <v>30</v>
      </c>
      <c r="N11" s="14">
        <f>K8+K9+K10+K11+L11</f>
        <v>128.04</v>
      </c>
      <c r="O11" s="11"/>
      <c r="P11" s="1"/>
      <c r="Q11" s="1"/>
    </row>
    <row r="12" spans="1:20" x14ac:dyDescent="0.25">
      <c r="A12" s="1"/>
      <c r="B12" s="1"/>
      <c r="C12" s="15"/>
      <c r="D12" s="1"/>
      <c r="E12" s="1"/>
      <c r="F12" s="1"/>
      <c r="G12" s="1"/>
      <c r="H12" s="1"/>
      <c r="I12" s="3"/>
      <c r="J12" s="1"/>
      <c r="K12" s="3"/>
      <c r="L12" s="3"/>
      <c r="M12" s="1"/>
      <c r="N12" s="3"/>
      <c r="O12" s="1"/>
      <c r="P12" s="1"/>
      <c r="Q12" s="1"/>
    </row>
    <row r="13" spans="1:20" x14ac:dyDescent="0.25">
      <c r="A13" s="11" t="s">
        <v>31</v>
      </c>
      <c r="B13" s="11"/>
      <c r="C13" s="12"/>
      <c r="D13" s="11" t="s">
        <v>32</v>
      </c>
      <c r="E13" s="11"/>
      <c r="F13" s="11" t="s">
        <v>33</v>
      </c>
      <c r="G13" s="11" t="s">
        <v>34</v>
      </c>
      <c r="H13" s="11"/>
      <c r="I13" s="13">
        <v>49.3</v>
      </c>
      <c r="J13" s="11">
        <v>1</v>
      </c>
      <c r="K13" s="13"/>
      <c r="L13" s="13"/>
      <c r="M13" s="11"/>
      <c r="N13" s="14">
        <v>49.3</v>
      </c>
      <c r="O13" s="11"/>
      <c r="P13" s="1"/>
      <c r="Q13" s="1"/>
    </row>
    <row r="14" spans="1:20" x14ac:dyDescent="0.25">
      <c r="A14" s="11" t="s">
        <v>31</v>
      </c>
      <c r="B14" s="11"/>
      <c r="C14" s="12"/>
      <c r="D14" s="11" t="s">
        <v>35</v>
      </c>
      <c r="E14" s="11"/>
      <c r="F14" s="11" t="s">
        <v>36</v>
      </c>
      <c r="G14" s="11" t="s">
        <v>34</v>
      </c>
      <c r="H14" s="11"/>
      <c r="I14" s="13">
        <v>29.33</v>
      </c>
      <c r="J14" s="11">
        <v>1</v>
      </c>
      <c r="K14" s="13"/>
      <c r="L14" s="13"/>
      <c r="M14" s="11"/>
      <c r="N14" s="14">
        <v>29.33</v>
      </c>
      <c r="O14" s="11"/>
      <c r="P14" s="1"/>
      <c r="Q14" s="1"/>
    </row>
    <row r="15" spans="1:20" x14ac:dyDescent="0.25">
      <c r="A15" s="1"/>
      <c r="B15" s="1"/>
      <c r="C15" s="15"/>
      <c r="D15" s="1"/>
      <c r="E15" s="1"/>
      <c r="F15" s="1"/>
      <c r="G15" s="1"/>
      <c r="H15" s="1"/>
      <c r="I15" s="3"/>
      <c r="J15" s="1"/>
      <c r="K15" s="3"/>
      <c r="L15" s="3"/>
      <c r="M15" s="1"/>
      <c r="N15" s="3"/>
      <c r="O15" s="1"/>
      <c r="P15" s="1"/>
      <c r="Q15" s="1"/>
    </row>
    <row r="16" spans="1:20" x14ac:dyDescent="0.25">
      <c r="A16" s="1"/>
      <c r="B16" s="1"/>
      <c r="C16" s="15"/>
      <c r="D16" s="1"/>
      <c r="E16" s="1"/>
      <c r="F16" s="1"/>
      <c r="G16" s="1"/>
      <c r="H16" s="1"/>
      <c r="I16" s="3"/>
      <c r="J16" s="1"/>
      <c r="K16" s="3"/>
      <c r="L16" s="3"/>
      <c r="M16" s="1"/>
      <c r="N16" s="3"/>
      <c r="O16" s="1"/>
      <c r="P16" s="1"/>
      <c r="Q16" s="1"/>
    </row>
    <row r="17" spans="1:17" x14ac:dyDescent="0.25">
      <c r="A17" s="11" t="s">
        <v>37</v>
      </c>
      <c r="B17" s="11"/>
      <c r="C17" s="12">
        <v>188390</v>
      </c>
      <c r="D17" s="11" t="s">
        <v>38</v>
      </c>
      <c r="E17" s="11"/>
      <c r="F17" s="11"/>
      <c r="G17" s="11"/>
      <c r="H17" s="11"/>
      <c r="I17" s="13"/>
      <c r="J17" s="11"/>
      <c r="K17" s="13"/>
      <c r="L17" s="13"/>
      <c r="M17" s="11" t="s">
        <v>39</v>
      </c>
      <c r="N17" s="14">
        <v>180</v>
      </c>
      <c r="O17" s="11"/>
      <c r="P17" s="1"/>
      <c r="Q17" s="1"/>
    </row>
    <row r="18" spans="1:17" x14ac:dyDescent="0.25">
      <c r="A18" s="1"/>
      <c r="B18" s="1"/>
      <c r="C18" s="15"/>
      <c r="D18" s="1"/>
      <c r="E18" s="1"/>
      <c r="F18" s="1"/>
      <c r="G18" s="1"/>
      <c r="H18" s="1"/>
      <c r="I18" s="3"/>
      <c r="J18" s="1"/>
      <c r="K18" s="3"/>
      <c r="L18" s="3"/>
      <c r="M18" s="1"/>
      <c r="N18" s="3"/>
      <c r="O18" s="1"/>
      <c r="P18" s="1"/>
      <c r="Q18" s="1"/>
    </row>
    <row r="19" spans="1:17" x14ac:dyDescent="0.25">
      <c r="A19" s="1"/>
      <c r="B19" s="1"/>
      <c r="C19" s="15"/>
      <c r="D19" s="1"/>
      <c r="E19" s="1"/>
      <c r="F19" s="1"/>
      <c r="G19" s="1"/>
      <c r="H19" s="1"/>
      <c r="I19" s="3"/>
      <c r="J19" s="1"/>
      <c r="K19" s="3"/>
      <c r="L19" s="3"/>
      <c r="M19" s="1"/>
      <c r="N19" s="3"/>
      <c r="O19" s="1"/>
      <c r="P19" s="1"/>
      <c r="Q19" s="1"/>
    </row>
    <row r="20" spans="1:17" x14ac:dyDescent="0.25">
      <c r="A20" s="11" t="s">
        <v>37</v>
      </c>
      <c r="B20" s="16">
        <v>41818</v>
      </c>
      <c r="C20" s="12">
        <v>189000</v>
      </c>
      <c r="D20" s="11" t="s">
        <v>40</v>
      </c>
      <c r="E20" s="11"/>
      <c r="F20" s="11"/>
      <c r="G20" s="11" t="s">
        <v>41</v>
      </c>
      <c r="H20" s="11"/>
      <c r="I20" s="13">
        <v>40</v>
      </c>
      <c r="J20" s="11">
        <v>1</v>
      </c>
      <c r="K20" s="13"/>
      <c r="L20" s="13">
        <v>35</v>
      </c>
      <c r="M20" s="11" t="s">
        <v>42</v>
      </c>
      <c r="N20" s="14">
        <f>I20+L20</f>
        <v>75</v>
      </c>
      <c r="O20" s="11"/>
      <c r="P20" s="1"/>
      <c r="Q20" s="1"/>
    </row>
    <row r="21" spans="1:17" x14ac:dyDescent="0.25">
      <c r="A21" s="1"/>
      <c r="B21" s="17"/>
      <c r="C21" s="15"/>
      <c r="D21" s="1"/>
      <c r="E21" s="1"/>
      <c r="F21" s="1"/>
      <c r="G21" s="1"/>
      <c r="H21" s="1"/>
      <c r="I21" s="3"/>
      <c r="J21" s="1"/>
      <c r="K21" s="3"/>
      <c r="L21" s="3"/>
      <c r="M21" s="1"/>
      <c r="N21" s="3"/>
      <c r="O21" s="1"/>
      <c r="P21" s="1"/>
      <c r="Q21" s="1"/>
    </row>
    <row r="22" spans="1:17" x14ac:dyDescent="0.25">
      <c r="A22" s="1"/>
      <c r="B22" s="17"/>
      <c r="C22" s="15"/>
      <c r="D22" s="1"/>
      <c r="E22" s="1"/>
      <c r="F22" s="1"/>
      <c r="G22" s="1"/>
      <c r="H22" s="1"/>
      <c r="I22" s="3"/>
      <c r="J22" s="1"/>
      <c r="K22" s="3"/>
      <c r="L22" s="3"/>
      <c r="M22" s="1"/>
      <c r="N22" s="3"/>
      <c r="O22" s="1"/>
      <c r="P22" s="1"/>
      <c r="Q22" s="1"/>
    </row>
    <row r="23" spans="1:17" x14ac:dyDescent="0.25">
      <c r="A23" s="11" t="s">
        <v>37</v>
      </c>
      <c r="B23" s="16">
        <v>41857</v>
      </c>
      <c r="C23" s="12">
        <v>192900</v>
      </c>
      <c r="D23" s="11" t="s">
        <v>43</v>
      </c>
      <c r="E23" s="11"/>
      <c r="F23" s="11" t="s">
        <v>44</v>
      </c>
      <c r="G23" s="11" t="s">
        <v>45</v>
      </c>
      <c r="H23" s="11"/>
      <c r="I23" s="13">
        <v>50</v>
      </c>
      <c r="J23" s="11">
        <v>1</v>
      </c>
      <c r="K23" s="13"/>
      <c r="L23" s="18"/>
      <c r="M23" s="18"/>
      <c r="N23" s="19"/>
      <c r="O23" s="11"/>
      <c r="P23" s="1"/>
      <c r="Q23" s="1"/>
    </row>
    <row r="24" spans="1:17" x14ac:dyDescent="0.25">
      <c r="A24" s="11"/>
      <c r="B24" s="11"/>
      <c r="C24" s="12"/>
      <c r="D24" s="11" t="s">
        <v>46</v>
      </c>
      <c r="E24" s="11"/>
      <c r="F24" s="11" t="s">
        <v>47</v>
      </c>
      <c r="G24" s="11" t="s">
        <v>45</v>
      </c>
      <c r="H24" s="11"/>
      <c r="I24" s="13">
        <v>50</v>
      </c>
      <c r="J24" s="11">
        <v>1</v>
      </c>
      <c r="K24" s="13"/>
      <c r="L24" s="13"/>
      <c r="M24" s="11"/>
      <c r="N24" s="13"/>
      <c r="O24" s="11"/>
      <c r="P24" s="1"/>
      <c r="Q24" s="1"/>
    </row>
    <row r="25" spans="1:17" x14ac:dyDescent="0.25">
      <c r="A25" s="11"/>
      <c r="B25" s="11"/>
      <c r="C25" s="12"/>
      <c r="D25" s="11" t="s">
        <v>48</v>
      </c>
      <c r="E25" s="11"/>
      <c r="F25" s="11" t="s">
        <v>47</v>
      </c>
      <c r="G25" s="11" t="s">
        <v>45</v>
      </c>
      <c r="H25" s="11"/>
      <c r="I25" s="13">
        <v>7.6</v>
      </c>
      <c r="J25" s="11">
        <v>1</v>
      </c>
      <c r="K25" s="13"/>
      <c r="L25" s="13"/>
      <c r="M25" s="11"/>
      <c r="N25" s="13"/>
      <c r="O25" s="11"/>
      <c r="P25" s="1"/>
      <c r="Q25" s="1"/>
    </row>
    <row r="26" spans="1:17" x14ac:dyDescent="0.25">
      <c r="A26" s="11"/>
      <c r="B26" s="11"/>
      <c r="C26" s="12"/>
      <c r="D26" s="11" t="s">
        <v>49</v>
      </c>
      <c r="E26" s="11"/>
      <c r="F26" s="11" t="s">
        <v>50</v>
      </c>
      <c r="G26" s="11" t="s">
        <v>45</v>
      </c>
      <c r="H26" s="11"/>
      <c r="I26" s="13">
        <v>7.6</v>
      </c>
      <c r="J26" s="11">
        <v>1</v>
      </c>
      <c r="K26" s="13"/>
      <c r="L26" s="13"/>
      <c r="M26" s="11"/>
      <c r="N26" s="13"/>
      <c r="O26" s="11"/>
      <c r="P26" s="1"/>
      <c r="Q26" s="1"/>
    </row>
    <row r="27" spans="1:17" x14ac:dyDescent="0.25">
      <c r="A27" s="11"/>
      <c r="B27" s="11"/>
      <c r="C27" s="12"/>
      <c r="D27" s="11" t="s">
        <v>51</v>
      </c>
      <c r="E27" s="11"/>
      <c r="F27" s="11" t="s">
        <v>52</v>
      </c>
      <c r="G27" s="11" t="s">
        <v>25</v>
      </c>
      <c r="H27" s="11"/>
      <c r="I27" s="13">
        <v>5.5</v>
      </c>
      <c r="J27" s="11">
        <v>1</v>
      </c>
      <c r="K27" s="13"/>
      <c r="L27" s="13">
        <v>77</v>
      </c>
      <c r="M27" s="11" t="s">
        <v>53</v>
      </c>
      <c r="N27" s="14">
        <f>I23+I24+I25+I26+L27</f>
        <v>192.2</v>
      </c>
      <c r="O27" s="11"/>
      <c r="P27" s="1"/>
      <c r="Q27" s="1"/>
    </row>
    <row r="28" spans="1:17" x14ac:dyDescent="0.25">
      <c r="A28" s="11" t="s">
        <v>37</v>
      </c>
      <c r="B28" s="16">
        <v>41858</v>
      </c>
      <c r="C28" s="12">
        <v>192950</v>
      </c>
      <c r="D28" s="11" t="s">
        <v>54</v>
      </c>
      <c r="E28" s="11"/>
      <c r="F28" s="11"/>
      <c r="G28" s="11" t="s">
        <v>55</v>
      </c>
      <c r="H28" s="11"/>
      <c r="I28" s="13">
        <v>15</v>
      </c>
      <c r="J28" s="11">
        <v>1</v>
      </c>
      <c r="K28" s="13"/>
      <c r="L28" s="13">
        <v>25</v>
      </c>
      <c r="M28" s="11" t="s">
        <v>53</v>
      </c>
      <c r="N28" s="14">
        <v>40</v>
      </c>
      <c r="O28" s="11"/>
      <c r="P28" s="1"/>
      <c r="Q28" s="1"/>
    </row>
    <row r="29" spans="1:17" x14ac:dyDescent="0.25">
      <c r="A29" s="1"/>
      <c r="B29" s="17"/>
      <c r="C29" s="15"/>
      <c r="D29" s="1"/>
      <c r="E29" s="1"/>
      <c r="F29" s="1"/>
      <c r="G29" s="1"/>
      <c r="H29" s="1"/>
      <c r="I29" s="3"/>
      <c r="J29" s="1"/>
      <c r="K29" s="3"/>
      <c r="L29" s="3"/>
      <c r="M29" s="1"/>
      <c r="N29" s="20"/>
      <c r="O29" s="1"/>
      <c r="P29" s="1"/>
      <c r="Q29" s="1"/>
    </row>
    <row r="30" spans="1:17" x14ac:dyDescent="0.25">
      <c r="A30" s="1"/>
      <c r="B30" s="17"/>
      <c r="C30" s="15"/>
      <c r="D30" s="1"/>
      <c r="E30" s="1"/>
      <c r="F30" s="1"/>
      <c r="G30" s="1"/>
      <c r="H30" s="1"/>
      <c r="I30" s="3"/>
      <c r="J30" s="1"/>
      <c r="K30" s="3"/>
      <c r="L30" s="3"/>
      <c r="M30" s="1"/>
      <c r="N30" s="3"/>
      <c r="O30" s="1"/>
      <c r="P30" s="1"/>
      <c r="Q30" s="1"/>
    </row>
    <row r="31" spans="1:17" x14ac:dyDescent="0.25">
      <c r="A31" s="11" t="s">
        <v>37</v>
      </c>
      <c r="B31" s="16">
        <v>41865</v>
      </c>
      <c r="C31" s="12">
        <v>193650</v>
      </c>
      <c r="D31" s="11" t="s">
        <v>56</v>
      </c>
      <c r="E31" s="11"/>
      <c r="F31" s="11" t="s">
        <v>57</v>
      </c>
      <c r="G31" s="11" t="s">
        <v>45</v>
      </c>
      <c r="H31" s="11"/>
      <c r="I31" s="13">
        <v>21</v>
      </c>
      <c r="J31" s="11">
        <v>1</v>
      </c>
      <c r="K31" s="13"/>
      <c r="L31" s="13">
        <v>40</v>
      </c>
      <c r="M31" s="11" t="s">
        <v>53</v>
      </c>
      <c r="N31" s="14">
        <f>I31+L31</f>
        <v>61</v>
      </c>
      <c r="O31" s="11"/>
      <c r="P31" s="1"/>
      <c r="Q31" s="1"/>
    </row>
    <row r="32" spans="1:17" x14ac:dyDescent="0.25">
      <c r="A32" s="1"/>
      <c r="B32" s="17"/>
      <c r="C32" s="15"/>
      <c r="D32" s="1"/>
      <c r="E32" s="1"/>
      <c r="F32" s="1"/>
      <c r="G32" s="1"/>
      <c r="H32" s="1"/>
      <c r="I32" s="3"/>
      <c r="J32" s="1"/>
      <c r="K32" s="3"/>
      <c r="L32" s="3"/>
      <c r="M32" s="1"/>
      <c r="N32" s="20"/>
      <c r="O32" s="1"/>
      <c r="P32" s="1"/>
      <c r="Q32" s="1"/>
    </row>
    <row r="33" spans="1:17" x14ac:dyDescent="0.25">
      <c r="A33" s="1"/>
      <c r="B33" s="17"/>
      <c r="C33" s="15"/>
      <c r="D33" s="1"/>
      <c r="E33" s="1"/>
      <c r="F33" s="1"/>
      <c r="G33" s="1"/>
      <c r="H33" s="1"/>
      <c r="I33" s="3"/>
      <c r="J33" s="1"/>
      <c r="K33" s="3"/>
      <c r="L33" s="3"/>
      <c r="M33" s="1"/>
      <c r="N33" s="3"/>
      <c r="O33" s="1"/>
      <c r="P33" s="1"/>
      <c r="Q33" s="1"/>
    </row>
    <row r="34" spans="1:17" x14ac:dyDescent="0.25">
      <c r="A34" s="11" t="s">
        <v>58</v>
      </c>
      <c r="B34" s="16"/>
      <c r="C34" s="12">
        <v>196460</v>
      </c>
      <c r="D34" s="11" t="s">
        <v>19</v>
      </c>
      <c r="E34" s="11"/>
      <c r="F34" s="11" t="s">
        <v>20</v>
      </c>
      <c r="G34" s="11" t="s">
        <v>21</v>
      </c>
      <c r="H34" s="11"/>
      <c r="I34" s="13">
        <v>100</v>
      </c>
      <c r="J34" s="11">
        <v>2</v>
      </c>
      <c r="K34" s="13"/>
      <c r="L34" s="13">
        <v>10</v>
      </c>
      <c r="M34" s="11" t="s">
        <v>53</v>
      </c>
      <c r="N34" s="13"/>
      <c r="O34" s="11" t="s">
        <v>59</v>
      </c>
      <c r="P34" s="1"/>
      <c r="Q34" s="1"/>
    </row>
    <row r="35" spans="1:17" x14ac:dyDescent="0.25">
      <c r="A35" s="11"/>
      <c r="B35" s="16"/>
      <c r="C35" s="12"/>
      <c r="D35" s="11" t="s">
        <v>23</v>
      </c>
      <c r="E35" s="11"/>
      <c r="F35" s="11" t="s">
        <v>24</v>
      </c>
      <c r="G35" s="11" t="s">
        <v>25</v>
      </c>
      <c r="H35" s="11"/>
      <c r="I35" s="13">
        <v>6.5</v>
      </c>
      <c r="J35" s="11">
        <v>1</v>
      </c>
      <c r="K35" s="13"/>
      <c r="L35" s="13"/>
      <c r="M35" s="11"/>
      <c r="N35" s="13"/>
      <c r="O35" s="11"/>
      <c r="P35" s="1"/>
      <c r="Q35" s="1"/>
    </row>
    <row r="36" spans="1:17" x14ac:dyDescent="0.25">
      <c r="A36" s="11"/>
      <c r="B36" s="16"/>
      <c r="C36" s="12"/>
      <c r="D36" s="11" t="s">
        <v>60</v>
      </c>
      <c r="E36" s="11"/>
      <c r="F36" s="11"/>
      <c r="G36" s="11"/>
      <c r="H36" s="11"/>
      <c r="I36" s="13">
        <v>100</v>
      </c>
      <c r="J36" s="11"/>
      <c r="K36" s="13"/>
      <c r="L36" s="13">
        <v>80</v>
      </c>
      <c r="M36" s="11" t="s">
        <v>53</v>
      </c>
      <c r="N36" s="13"/>
      <c r="O36" s="11"/>
      <c r="P36" s="1"/>
      <c r="Q36" s="1"/>
    </row>
    <row r="37" spans="1:17" x14ac:dyDescent="0.25">
      <c r="A37" s="11"/>
      <c r="B37" s="16"/>
      <c r="C37" s="12"/>
      <c r="D37" s="11" t="s">
        <v>61</v>
      </c>
      <c r="E37" s="11"/>
      <c r="F37" s="11" t="s">
        <v>62</v>
      </c>
      <c r="G37" s="11"/>
      <c r="H37" s="11"/>
      <c r="I37" s="13">
        <v>15</v>
      </c>
      <c r="J37" s="11"/>
      <c r="K37" s="13"/>
      <c r="L37" s="13">
        <v>10</v>
      </c>
      <c r="M37" s="11" t="s">
        <v>53</v>
      </c>
      <c r="N37" s="13"/>
      <c r="O37" s="11"/>
      <c r="P37" s="1"/>
      <c r="Q37" s="1"/>
    </row>
    <row r="38" spans="1:17" x14ac:dyDescent="0.25">
      <c r="A38" s="11"/>
      <c r="B38" s="16"/>
      <c r="C38" s="12"/>
      <c r="D38" s="11" t="s">
        <v>63</v>
      </c>
      <c r="E38" s="11"/>
      <c r="F38" s="11"/>
      <c r="G38" s="11"/>
      <c r="H38" s="11"/>
      <c r="I38" s="13"/>
      <c r="J38" s="11"/>
      <c r="K38" s="13"/>
      <c r="L38" s="13">
        <v>24</v>
      </c>
      <c r="M38" s="11" t="s">
        <v>64</v>
      </c>
      <c r="N38" s="14">
        <f>I34+I35+I36+I37+L34+L36+L37+L38</f>
        <v>345.5</v>
      </c>
      <c r="O38" s="11"/>
      <c r="P38" s="1"/>
      <c r="Q38" s="1"/>
    </row>
    <row r="39" spans="1:17" x14ac:dyDescent="0.25">
      <c r="A39" s="1"/>
      <c r="B39" s="17"/>
      <c r="C39" s="15"/>
      <c r="D39" s="1"/>
      <c r="E39" s="1"/>
      <c r="F39" s="1"/>
      <c r="G39" s="1"/>
      <c r="H39" s="1"/>
      <c r="I39" s="3"/>
      <c r="J39" s="1"/>
      <c r="K39" s="3"/>
      <c r="L39" s="3"/>
      <c r="M39" s="1"/>
      <c r="N39" s="20"/>
      <c r="O39" s="1"/>
      <c r="P39" s="1"/>
      <c r="Q39" s="1"/>
    </row>
    <row r="40" spans="1:17" x14ac:dyDescent="0.25">
      <c r="A40" s="1"/>
      <c r="B40" s="17"/>
      <c r="C40" s="15"/>
      <c r="D40" s="1"/>
      <c r="E40" s="1"/>
      <c r="F40" s="1"/>
      <c r="G40" s="1"/>
      <c r="H40" s="1"/>
      <c r="I40" s="3"/>
      <c r="J40" s="1"/>
      <c r="K40" s="3"/>
      <c r="L40" s="3"/>
      <c r="M40" s="1"/>
      <c r="N40" s="20"/>
      <c r="O40" s="1"/>
      <c r="P40" s="1"/>
      <c r="Q40" s="1"/>
    </row>
    <row r="41" spans="1:17" x14ac:dyDescent="0.25">
      <c r="A41" s="11" t="s">
        <v>65</v>
      </c>
      <c r="B41" s="16">
        <v>41923</v>
      </c>
      <c r="C41" s="12">
        <v>197500</v>
      </c>
      <c r="D41" s="11" t="s">
        <v>66</v>
      </c>
      <c r="E41" s="11"/>
      <c r="F41" s="11"/>
      <c r="G41" s="11"/>
      <c r="H41" s="11"/>
      <c r="I41" s="13"/>
      <c r="J41" s="11"/>
      <c r="K41" s="13"/>
      <c r="L41" s="13">
        <v>80</v>
      </c>
      <c r="M41" s="11" t="s">
        <v>67</v>
      </c>
      <c r="N41" s="14">
        <v>80</v>
      </c>
      <c r="O41" s="11" t="s">
        <v>68</v>
      </c>
      <c r="P41" s="1"/>
      <c r="Q41" s="1"/>
    </row>
    <row r="42" spans="1:17" x14ac:dyDescent="0.25">
      <c r="A42" s="1"/>
      <c r="B42" s="17"/>
      <c r="C42" s="15"/>
      <c r="D42" s="1"/>
      <c r="E42" s="1"/>
      <c r="F42" s="1"/>
      <c r="G42" s="1"/>
      <c r="H42" s="1"/>
      <c r="I42" s="3"/>
      <c r="J42" s="1"/>
      <c r="K42" s="3"/>
      <c r="L42" s="3"/>
      <c r="M42" s="1"/>
      <c r="N42" s="20"/>
      <c r="O42" s="1"/>
      <c r="P42" s="1"/>
      <c r="Q42" s="1"/>
    </row>
    <row r="43" spans="1:17" x14ac:dyDescent="0.25">
      <c r="A43" s="1"/>
      <c r="B43" s="17"/>
      <c r="C43" s="15"/>
      <c r="D43" s="1"/>
      <c r="E43" s="1"/>
      <c r="F43" s="1"/>
      <c r="G43" s="1"/>
      <c r="H43" s="1"/>
      <c r="I43" s="3"/>
      <c r="J43" s="1"/>
      <c r="K43" s="3"/>
      <c r="L43" s="3"/>
      <c r="M43" s="1"/>
      <c r="N43" s="3"/>
      <c r="O43" s="1"/>
      <c r="P43" s="1"/>
      <c r="Q43" s="1"/>
    </row>
    <row r="44" spans="1:17" x14ac:dyDescent="0.25">
      <c r="A44" s="11" t="s">
        <v>18</v>
      </c>
      <c r="B44" s="16">
        <v>41930</v>
      </c>
      <c r="C44" s="12">
        <v>198000</v>
      </c>
      <c r="D44" s="11" t="s">
        <v>69</v>
      </c>
      <c r="E44" s="11"/>
      <c r="F44" s="11" t="s">
        <v>70</v>
      </c>
      <c r="G44" s="11"/>
      <c r="H44" s="11"/>
      <c r="I44" s="13"/>
      <c r="J44" s="11" t="s">
        <v>71</v>
      </c>
      <c r="K44" s="13"/>
      <c r="L44" s="13"/>
      <c r="M44" s="11" t="s">
        <v>72</v>
      </c>
      <c r="N44" s="13"/>
      <c r="O44" s="11" t="s">
        <v>73</v>
      </c>
      <c r="P44" s="1"/>
      <c r="Q44" s="1"/>
    </row>
    <row r="45" spans="1:17" x14ac:dyDescent="0.25">
      <c r="A45" s="11"/>
      <c r="B45" s="16"/>
      <c r="C45" s="12"/>
      <c r="D45" s="11" t="s">
        <v>74</v>
      </c>
      <c r="E45" s="11"/>
      <c r="F45" s="11" t="s">
        <v>75</v>
      </c>
      <c r="G45" s="11"/>
      <c r="H45" s="11"/>
      <c r="I45" s="13"/>
      <c r="J45" s="11"/>
      <c r="K45" s="13"/>
      <c r="L45" s="13"/>
      <c r="M45" s="11"/>
      <c r="N45" s="13"/>
      <c r="O45" s="11" t="s">
        <v>73</v>
      </c>
      <c r="P45" s="1"/>
      <c r="Q45" s="1"/>
    </row>
    <row r="46" spans="1:17" x14ac:dyDescent="0.25">
      <c r="A46" s="11"/>
      <c r="B46" s="16"/>
      <c r="C46" s="12"/>
      <c r="D46" s="11" t="s">
        <v>76</v>
      </c>
      <c r="E46" s="11"/>
      <c r="F46" s="11" t="s">
        <v>77</v>
      </c>
      <c r="G46" s="11"/>
      <c r="H46" s="11"/>
      <c r="I46" s="13"/>
      <c r="J46" s="11" t="s">
        <v>78</v>
      </c>
      <c r="K46" s="13"/>
      <c r="L46" s="13"/>
      <c r="M46" s="11"/>
      <c r="N46" s="13"/>
      <c r="O46" s="11" t="s">
        <v>79</v>
      </c>
      <c r="P46" s="1"/>
      <c r="Q46" s="1"/>
    </row>
    <row r="47" spans="1:17" x14ac:dyDescent="0.25">
      <c r="A47" s="11"/>
      <c r="B47" s="16"/>
      <c r="C47" s="12"/>
      <c r="D47" s="11" t="s">
        <v>80</v>
      </c>
      <c r="E47" s="11"/>
      <c r="F47" s="11" t="s">
        <v>81</v>
      </c>
      <c r="G47" s="11" t="s">
        <v>25</v>
      </c>
      <c r="H47" s="11"/>
      <c r="I47" s="13"/>
      <c r="J47" s="11"/>
      <c r="K47" s="13">
        <v>2017950</v>
      </c>
      <c r="L47" s="13"/>
      <c r="M47" s="11"/>
      <c r="N47" s="14">
        <f>K47/10300</f>
        <v>195.91747572815535</v>
      </c>
      <c r="O47" s="11"/>
      <c r="P47" s="1"/>
      <c r="Q47" s="1"/>
    </row>
    <row r="48" spans="1:17" x14ac:dyDescent="0.25">
      <c r="A48" s="1"/>
      <c r="B48" s="17"/>
      <c r="C48" s="15"/>
      <c r="D48" s="1"/>
      <c r="E48" s="1"/>
      <c r="F48" s="1"/>
      <c r="G48" s="1"/>
      <c r="H48" s="1"/>
      <c r="I48" s="3"/>
      <c r="J48" s="1"/>
      <c r="K48" s="3"/>
      <c r="L48" s="3"/>
      <c r="M48" s="1"/>
      <c r="N48" s="3"/>
      <c r="O48" s="1"/>
      <c r="P48" s="1"/>
      <c r="Q48" s="1"/>
    </row>
    <row r="49" spans="1:17" x14ac:dyDescent="0.25">
      <c r="A49" s="1"/>
      <c r="B49" s="17"/>
      <c r="C49" s="15"/>
      <c r="D49" s="1"/>
      <c r="E49" s="1"/>
      <c r="F49" s="1"/>
      <c r="G49" s="1"/>
      <c r="H49" s="1"/>
      <c r="I49" s="3"/>
      <c r="J49" s="1"/>
      <c r="K49" s="3"/>
      <c r="L49" s="3"/>
      <c r="M49" s="1"/>
      <c r="N49" s="3"/>
      <c r="O49" s="1"/>
      <c r="P49" s="1"/>
      <c r="Q49" s="1"/>
    </row>
    <row r="50" spans="1:17" x14ac:dyDescent="0.25">
      <c r="A50" s="11" t="s">
        <v>82</v>
      </c>
      <c r="B50" s="16">
        <v>41931</v>
      </c>
      <c r="C50" s="12">
        <v>198000</v>
      </c>
      <c r="D50" s="11" t="s">
        <v>83</v>
      </c>
      <c r="E50" s="11"/>
      <c r="F50" s="11"/>
      <c r="G50" s="11" t="s">
        <v>84</v>
      </c>
      <c r="H50" s="11"/>
      <c r="I50" s="13"/>
      <c r="J50" s="11"/>
      <c r="K50" s="13">
        <v>2280000</v>
      </c>
      <c r="L50" s="13"/>
      <c r="M50" s="11" t="s">
        <v>85</v>
      </c>
      <c r="N50" s="14">
        <f>K50/10300</f>
        <v>221.35922330097088</v>
      </c>
      <c r="O50" s="11" t="s">
        <v>86</v>
      </c>
      <c r="P50" s="1"/>
      <c r="Q50" s="1"/>
    </row>
    <row r="51" spans="1:17" x14ac:dyDescent="0.25">
      <c r="A51" s="1"/>
      <c r="B51" s="17"/>
      <c r="C51" s="15"/>
      <c r="D51" s="1"/>
      <c r="E51" s="1"/>
      <c r="F51" s="1"/>
      <c r="G51" s="1"/>
      <c r="H51" s="1"/>
      <c r="I51" s="3"/>
      <c r="J51" s="1"/>
      <c r="K51" s="3"/>
      <c r="L51" s="3"/>
      <c r="M51" s="1"/>
      <c r="N51" s="3"/>
      <c r="O51" s="1"/>
      <c r="P51" s="1"/>
      <c r="Q51" s="1"/>
    </row>
    <row r="52" spans="1:17" x14ac:dyDescent="0.25">
      <c r="A52" s="1"/>
      <c r="B52" s="17"/>
      <c r="C52" s="15"/>
      <c r="D52" s="1"/>
      <c r="E52" s="1"/>
      <c r="F52" s="1"/>
      <c r="G52" s="1"/>
      <c r="H52" s="1"/>
      <c r="I52" s="3"/>
      <c r="J52" s="1"/>
      <c r="K52" s="3"/>
      <c r="L52" s="3"/>
      <c r="M52" s="1"/>
      <c r="N52" s="3"/>
      <c r="O52" s="1"/>
      <c r="P52" s="1"/>
      <c r="Q52" s="1"/>
    </row>
    <row r="53" spans="1:17" x14ac:dyDescent="0.25">
      <c r="A53" s="11" t="s">
        <v>37</v>
      </c>
      <c r="B53" s="16"/>
      <c r="C53" s="12">
        <v>201000</v>
      </c>
      <c r="D53" s="11" t="s">
        <v>87</v>
      </c>
      <c r="E53" s="11"/>
      <c r="F53" s="11" t="s">
        <v>88</v>
      </c>
      <c r="G53" s="11"/>
      <c r="H53" s="11"/>
      <c r="I53" s="13"/>
      <c r="J53" s="11"/>
      <c r="K53" s="13"/>
      <c r="L53" s="13"/>
      <c r="M53" s="11"/>
      <c r="N53" s="13"/>
      <c r="O53" s="11"/>
      <c r="P53" s="1"/>
      <c r="Q53" s="1"/>
    </row>
    <row r="54" spans="1:17" x14ac:dyDescent="0.25">
      <c r="A54" s="1"/>
      <c r="B54" s="17"/>
      <c r="C54" s="15"/>
      <c r="D54" s="1"/>
      <c r="E54" s="1"/>
      <c r="F54" s="1"/>
      <c r="G54" s="1"/>
      <c r="H54" s="1"/>
      <c r="I54" s="3"/>
      <c r="J54" s="1"/>
      <c r="K54" s="3"/>
      <c r="L54" s="3"/>
      <c r="M54" s="1"/>
      <c r="N54" s="3"/>
      <c r="O54" s="1"/>
      <c r="P54" s="1"/>
      <c r="Q54" s="1"/>
    </row>
    <row r="55" spans="1:17" x14ac:dyDescent="0.25">
      <c r="A55" s="1"/>
      <c r="B55" s="17"/>
      <c r="C55" s="15"/>
      <c r="D55" s="1"/>
      <c r="E55" s="1"/>
      <c r="F55" s="1"/>
      <c r="G55" s="1"/>
      <c r="H55" s="1"/>
      <c r="I55" s="3"/>
      <c r="J55" s="1"/>
      <c r="K55" s="3"/>
      <c r="L55" s="3"/>
      <c r="M55" s="1"/>
      <c r="N55" s="3"/>
      <c r="O55" s="1"/>
      <c r="P55" s="1"/>
      <c r="Q55" s="1"/>
    </row>
    <row r="56" spans="1:17" x14ac:dyDescent="0.25">
      <c r="A56" s="11" t="s">
        <v>58</v>
      </c>
      <c r="B56" s="16">
        <v>41983</v>
      </c>
      <c r="C56" s="12">
        <v>204200</v>
      </c>
      <c r="D56" s="11" t="s">
        <v>19</v>
      </c>
      <c r="E56" s="11"/>
      <c r="F56" s="11" t="s">
        <v>20</v>
      </c>
      <c r="G56" s="11" t="s">
        <v>21</v>
      </c>
      <c r="H56" s="11"/>
      <c r="I56" s="13"/>
      <c r="J56" s="11"/>
      <c r="K56" s="13"/>
      <c r="L56" s="21">
        <v>10</v>
      </c>
      <c r="M56" s="22" t="s">
        <v>89</v>
      </c>
      <c r="N56" s="13"/>
      <c r="O56" s="11" t="s">
        <v>90</v>
      </c>
      <c r="P56" s="1"/>
      <c r="Q56" s="1"/>
    </row>
    <row r="57" spans="1:17" x14ac:dyDescent="0.25">
      <c r="A57" s="11"/>
      <c r="B57" s="16"/>
      <c r="C57" s="12"/>
      <c r="D57" s="11" t="s">
        <v>23</v>
      </c>
      <c r="E57" s="11"/>
      <c r="F57" s="11" t="s">
        <v>24</v>
      </c>
      <c r="G57" s="11" t="s">
        <v>25</v>
      </c>
      <c r="H57" s="11"/>
      <c r="I57" s="13">
        <v>4.8499999999999996</v>
      </c>
      <c r="J57" s="11">
        <v>1</v>
      </c>
      <c r="K57" s="13">
        <v>4.8499999999999996</v>
      </c>
      <c r="L57" s="21"/>
      <c r="M57" s="23"/>
      <c r="N57" s="13"/>
      <c r="O57" s="11"/>
      <c r="P57" s="1"/>
      <c r="Q57" s="1"/>
    </row>
    <row r="58" spans="1:17" x14ac:dyDescent="0.25">
      <c r="A58" s="11"/>
      <c r="B58" s="24" t="s">
        <v>91</v>
      </c>
      <c r="C58" s="12"/>
      <c r="D58" s="11" t="s">
        <v>28</v>
      </c>
      <c r="E58" s="11"/>
      <c r="F58" s="11" t="s">
        <v>81</v>
      </c>
      <c r="G58" s="11" t="s">
        <v>25</v>
      </c>
      <c r="H58" s="11"/>
      <c r="I58" s="13">
        <v>5.48</v>
      </c>
      <c r="J58" s="11">
        <v>1</v>
      </c>
      <c r="K58" s="13">
        <v>5.48</v>
      </c>
      <c r="L58" s="21"/>
      <c r="M58" s="23"/>
      <c r="N58" s="13"/>
      <c r="O58" s="11" t="s">
        <v>92</v>
      </c>
      <c r="P58" s="1"/>
      <c r="Q58" s="1"/>
    </row>
    <row r="59" spans="1:17" x14ac:dyDescent="0.25">
      <c r="A59" s="11"/>
      <c r="B59" s="16"/>
      <c r="C59" s="12"/>
      <c r="D59" s="11" t="s">
        <v>26</v>
      </c>
      <c r="E59" s="11"/>
      <c r="F59" s="11" t="s">
        <v>27</v>
      </c>
      <c r="G59" s="11" t="s">
        <v>25</v>
      </c>
      <c r="H59" s="11"/>
      <c r="I59" s="13">
        <v>15</v>
      </c>
      <c r="J59" s="11">
        <v>1</v>
      </c>
      <c r="K59" s="13">
        <v>15</v>
      </c>
      <c r="L59" s="21"/>
      <c r="M59" s="23"/>
      <c r="N59" s="13"/>
      <c r="O59" s="11"/>
      <c r="P59" s="1"/>
      <c r="Q59" s="1"/>
    </row>
    <row r="60" spans="1:17" x14ac:dyDescent="0.25">
      <c r="A60" s="11"/>
      <c r="B60" s="16"/>
      <c r="C60" s="12"/>
      <c r="D60" s="11" t="s">
        <v>93</v>
      </c>
      <c r="E60" s="11"/>
      <c r="F60" s="11" t="s">
        <v>94</v>
      </c>
      <c r="G60" s="11" t="s">
        <v>95</v>
      </c>
      <c r="H60" s="11"/>
      <c r="I60" s="13">
        <v>2</v>
      </c>
      <c r="J60" s="11">
        <v>4</v>
      </c>
      <c r="K60" s="13">
        <v>8</v>
      </c>
      <c r="L60" s="13">
        <v>40</v>
      </c>
      <c r="M60" s="25"/>
      <c r="N60" s="14">
        <f>K57+K58+K59+K60+L60+L56</f>
        <v>83.33</v>
      </c>
      <c r="O60" s="11"/>
      <c r="P60" s="1"/>
      <c r="Q60" s="1"/>
    </row>
    <row r="61" spans="1:17" x14ac:dyDescent="0.25">
      <c r="A61" s="1"/>
      <c r="B61" s="17"/>
      <c r="C61" s="15"/>
      <c r="D61" s="1"/>
      <c r="E61" s="1"/>
      <c r="F61" s="1"/>
      <c r="G61" s="1"/>
      <c r="H61" s="1"/>
      <c r="I61" s="3"/>
      <c r="J61" s="1"/>
      <c r="K61" s="3"/>
      <c r="L61" s="3"/>
      <c r="M61" s="1"/>
      <c r="N61" s="20"/>
      <c r="O61" s="1"/>
      <c r="P61" s="1"/>
      <c r="Q61" s="1"/>
    </row>
    <row r="62" spans="1:17" x14ac:dyDescent="0.25">
      <c r="A62" s="1"/>
      <c r="B62" s="17"/>
      <c r="C62" s="15"/>
      <c r="D62" s="1"/>
      <c r="E62" s="1"/>
      <c r="F62" s="1"/>
      <c r="G62" s="1"/>
      <c r="H62" s="1"/>
      <c r="I62" s="3"/>
      <c r="J62" s="1"/>
      <c r="K62" s="3"/>
      <c r="L62" s="3"/>
      <c r="M62" s="1"/>
      <c r="N62" s="3"/>
      <c r="O62" s="1"/>
      <c r="P62" s="1"/>
      <c r="Q62" s="1"/>
    </row>
    <row r="63" spans="1:17" x14ac:dyDescent="0.25">
      <c r="A63" s="11" t="s">
        <v>58</v>
      </c>
      <c r="B63" s="16">
        <v>42164</v>
      </c>
      <c r="C63" s="12">
        <v>211800</v>
      </c>
      <c r="D63" s="11" t="s">
        <v>96</v>
      </c>
      <c r="E63" s="11"/>
      <c r="F63" s="11" t="s">
        <v>20</v>
      </c>
      <c r="G63" s="11" t="s">
        <v>21</v>
      </c>
      <c r="H63" s="11"/>
      <c r="I63" s="13">
        <v>21</v>
      </c>
      <c r="J63" s="11">
        <v>2</v>
      </c>
      <c r="K63" s="13">
        <f>I63*J63</f>
        <v>42</v>
      </c>
      <c r="L63" s="13"/>
      <c r="M63" s="11"/>
      <c r="N63" s="13"/>
      <c r="O63" s="11" t="s">
        <v>97</v>
      </c>
      <c r="P63" s="1" t="s">
        <v>98</v>
      </c>
      <c r="Q63" s="1" t="s">
        <v>99</v>
      </c>
    </row>
    <row r="64" spans="1:17" x14ac:dyDescent="0.25">
      <c r="A64" s="11"/>
      <c r="B64" s="16"/>
      <c r="C64" s="12"/>
      <c r="D64" s="11" t="s">
        <v>23</v>
      </c>
      <c r="E64" s="11"/>
      <c r="F64" s="11" t="s">
        <v>24</v>
      </c>
      <c r="G64" s="11" t="s">
        <v>25</v>
      </c>
      <c r="H64" s="11"/>
      <c r="I64" s="19">
        <v>4.78</v>
      </c>
      <c r="J64" s="11">
        <v>1</v>
      </c>
      <c r="K64" s="13">
        <f t="shared" ref="K64:K77" si="1">I64*J64</f>
        <v>4.78</v>
      </c>
      <c r="L64" s="13"/>
      <c r="M64" s="11"/>
      <c r="N64" s="13"/>
      <c r="O64" s="11" t="s">
        <v>100</v>
      </c>
      <c r="P64" s="1"/>
      <c r="Q64" s="1"/>
    </row>
    <row r="65" spans="1:19" x14ac:dyDescent="0.25">
      <c r="A65" s="26" t="s">
        <v>101</v>
      </c>
      <c r="B65" s="16"/>
      <c r="C65" s="12"/>
      <c r="D65" s="11" t="s">
        <v>28</v>
      </c>
      <c r="E65" s="11"/>
      <c r="F65" s="11" t="s">
        <v>81</v>
      </c>
      <c r="G65" s="11" t="s">
        <v>25</v>
      </c>
      <c r="H65" s="11"/>
      <c r="I65" s="13">
        <v>5.77</v>
      </c>
      <c r="J65" s="11">
        <v>1</v>
      </c>
      <c r="K65" s="13">
        <f t="shared" si="1"/>
        <v>5.77</v>
      </c>
      <c r="L65" s="13"/>
      <c r="M65" s="11"/>
      <c r="N65" s="13"/>
      <c r="O65" s="11" t="s">
        <v>102</v>
      </c>
      <c r="P65" s="1"/>
      <c r="Q65" s="1"/>
    </row>
    <row r="66" spans="1:19" x14ac:dyDescent="0.25">
      <c r="A66" s="11"/>
      <c r="B66" s="16"/>
      <c r="C66" s="12"/>
      <c r="D66" s="11" t="s">
        <v>26</v>
      </c>
      <c r="E66" s="11"/>
      <c r="F66" s="11" t="s">
        <v>27</v>
      </c>
      <c r="G66" s="11" t="s">
        <v>25</v>
      </c>
      <c r="H66" s="11"/>
      <c r="I66" s="13">
        <v>10.7</v>
      </c>
      <c r="J66" s="11">
        <v>1</v>
      </c>
      <c r="K66" s="13">
        <f t="shared" si="1"/>
        <v>10.7</v>
      </c>
      <c r="L66" s="13"/>
      <c r="M66" s="11"/>
      <c r="N66" s="13"/>
      <c r="O66" s="11" t="s">
        <v>102</v>
      </c>
      <c r="P66" s="1"/>
      <c r="Q66" s="1"/>
    </row>
    <row r="67" spans="1:19" x14ac:dyDescent="0.25">
      <c r="A67" s="11"/>
      <c r="B67" s="16"/>
      <c r="C67" s="12"/>
      <c r="D67" s="11" t="s">
        <v>103</v>
      </c>
      <c r="E67" s="11"/>
      <c r="F67" s="11">
        <v>3484022</v>
      </c>
      <c r="G67" s="11" t="s">
        <v>104</v>
      </c>
      <c r="H67" s="11"/>
      <c r="I67" s="13">
        <v>40</v>
      </c>
      <c r="J67" s="11">
        <v>1</v>
      </c>
      <c r="K67" s="13">
        <f t="shared" si="1"/>
        <v>40</v>
      </c>
      <c r="L67" s="13"/>
      <c r="M67" s="11"/>
      <c r="N67" s="13"/>
      <c r="O67" s="11" t="s">
        <v>102</v>
      </c>
      <c r="P67" s="1">
        <v>31073</v>
      </c>
      <c r="Q67" t="s">
        <v>105</v>
      </c>
      <c r="R67" s="1">
        <v>79.59</v>
      </c>
      <c r="S67">
        <v>84</v>
      </c>
    </row>
    <row r="68" spans="1:19" x14ac:dyDescent="0.25">
      <c r="A68" s="11"/>
      <c r="B68" s="16"/>
      <c r="C68" s="12"/>
      <c r="D68" s="11" t="s">
        <v>106</v>
      </c>
      <c r="E68" s="11"/>
      <c r="F68" s="11">
        <v>3484013</v>
      </c>
      <c r="G68" s="11" t="s">
        <v>104</v>
      </c>
      <c r="H68" s="11"/>
      <c r="I68" s="13">
        <v>4.45</v>
      </c>
      <c r="J68" s="11">
        <v>1</v>
      </c>
      <c r="K68" s="13">
        <f t="shared" si="1"/>
        <v>4.45</v>
      </c>
      <c r="L68" s="13"/>
      <c r="M68" s="11"/>
      <c r="N68" s="13"/>
      <c r="O68" s="11" t="s">
        <v>102</v>
      </c>
      <c r="P68" s="1" t="s">
        <v>107</v>
      </c>
      <c r="Q68" s="1"/>
    </row>
    <row r="69" spans="1:19" x14ac:dyDescent="0.25">
      <c r="A69" s="11"/>
      <c r="B69" s="16"/>
      <c r="C69" s="12"/>
      <c r="D69" s="11" t="s">
        <v>108</v>
      </c>
      <c r="E69" s="11"/>
      <c r="F69" s="11">
        <v>3484036</v>
      </c>
      <c r="G69" s="11" t="s">
        <v>104</v>
      </c>
      <c r="H69" s="11"/>
      <c r="I69" s="13">
        <v>14.78</v>
      </c>
      <c r="J69" s="11">
        <v>1</v>
      </c>
      <c r="K69" s="13">
        <f t="shared" si="1"/>
        <v>14.78</v>
      </c>
      <c r="L69" s="13"/>
      <c r="M69" s="11"/>
      <c r="N69" s="13"/>
      <c r="O69" s="11" t="s">
        <v>102</v>
      </c>
      <c r="P69" s="1" t="s">
        <v>107</v>
      </c>
      <c r="Q69" s="1"/>
    </row>
    <row r="70" spans="1:19" x14ac:dyDescent="0.25">
      <c r="A70" s="11"/>
      <c r="B70" s="16"/>
      <c r="C70" s="12"/>
      <c r="D70" s="11" t="s">
        <v>103</v>
      </c>
      <c r="E70" s="11"/>
      <c r="F70" s="11">
        <v>3484020</v>
      </c>
      <c r="G70" s="11" t="s">
        <v>104</v>
      </c>
      <c r="H70" s="11"/>
      <c r="I70" s="13">
        <v>21.28</v>
      </c>
      <c r="J70" s="11">
        <v>1</v>
      </c>
      <c r="K70" s="13">
        <f t="shared" si="1"/>
        <v>21.28</v>
      </c>
      <c r="L70" s="13"/>
      <c r="M70" s="11"/>
      <c r="N70" s="13"/>
      <c r="O70" s="11" t="s">
        <v>102</v>
      </c>
      <c r="P70" s="1" t="s">
        <v>107</v>
      </c>
      <c r="Q70" s="1"/>
    </row>
    <row r="71" spans="1:19" x14ac:dyDescent="0.25">
      <c r="A71" s="11"/>
      <c r="B71" s="16"/>
      <c r="C71" s="12"/>
      <c r="D71" s="11" t="s">
        <v>109</v>
      </c>
      <c r="E71" s="11"/>
      <c r="F71" s="27" t="s">
        <v>110</v>
      </c>
      <c r="G71" s="11" t="s">
        <v>95</v>
      </c>
      <c r="H71" s="11"/>
      <c r="I71" s="13">
        <v>41</v>
      </c>
      <c r="J71" s="11">
        <v>1</v>
      </c>
      <c r="K71" s="13">
        <f t="shared" si="1"/>
        <v>41</v>
      </c>
      <c r="L71" s="13"/>
      <c r="M71" s="11"/>
      <c r="N71" s="13"/>
      <c r="O71" s="11" t="s">
        <v>111</v>
      </c>
      <c r="P71" s="1" t="s">
        <v>107</v>
      </c>
      <c r="Q71" s="1"/>
    </row>
    <row r="72" spans="1:19" x14ac:dyDescent="0.25">
      <c r="A72" s="11"/>
      <c r="B72" s="16"/>
      <c r="C72" s="12"/>
      <c r="D72" s="11" t="s">
        <v>112</v>
      </c>
      <c r="E72" s="11"/>
      <c r="F72" s="27" t="s">
        <v>113</v>
      </c>
      <c r="G72" s="11" t="s">
        <v>95</v>
      </c>
      <c r="H72" s="11"/>
      <c r="I72" s="13">
        <v>7</v>
      </c>
      <c r="J72" s="11">
        <v>2</v>
      </c>
      <c r="K72" s="13">
        <f t="shared" si="1"/>
        <v>14</v>
      </c>
      <c r="L72" s="13"/>
      <c r="M72" s="11"/>
      <c r="N72" s="13"/>
      <c r="O72" s="11" t="s">
        <v>111</v>
      </c>
      <c r="P72" s="1" t="s">
        <v>107</v>
      </c>
      <c r="Q72" s="1"/>
    </row>
    <row r="73" spans="1:19" x14ac:dyDescent="0.25">
      <c r="A73" s="11"/>
      <c r="B73" s="16"/>
      <c r="C73" s="12"/>
      <c r="D73" s="11" t="s">
        <v>114</v>
      </c>
      <c r="E73" s="11"/>
      <c r="F73" s="27" t="s">
        <v>115</v>
      </c>
      <c r="G73" s="11" t="s">
        <v>95</v>
      </c>
      <c r="H73" s="11"/>
      <c r="I73" s="13">
        <v>31</v>
      </c>
      <c r="J73" s="11">
        <v>1</v>
      </c>
      <c r="K73" s="13">
        <f t="shared" si="1"/>
        <v>31</v>
      </c>
      <c r="L73" s="13"/>
      <c r="M73" s="11"/>
      <c r="N73" s="13"/>
      <c r="O73" s="11" t="s">
        <v>111</v>
      </c>
      <c r="P73" s="1" t="s">
        <v>107</v>
      </c>
      <c r="Q73" s="1"/>
    </row>
    <row r="74" spans="1:19" x14ac:dyDescent="0.25">
      <c r="A74" s="11"/>
      <c r="B74" s="16"/>
      <c r="C74" s="12"/>
      <c r="D74" s="11" t="s">
        <v>116</v>
      </c>
      <c r="E74" s="11"/>
      <c r="F74" s="27" t="s">
        <v>117</v>
      </c>
      <c r="G74" s="11" t="s">
        <v>95</v>
      </c>
      <c r="H74" s="11"/>
      <c r="I74" s="13">
        <v>4</v>
      </c>
      <c r="J74" s="11">
        <v>1</v>
      </c>
      <c r="K74" s="13">
        <f t="shared" si="1"/>
        <v>4</v>
      </c>
      <c r="L74" s="13"/>
      <c r="M74" s="11"/>
      <c r="N74" s="13"/>
      <c r="O74" s="11" t="s">
        <v>111</v>
      </c>
      <c r="P74" s="1"/>
      <c r="Q74" s="1"/>
    </row>
    <row r="75" spans="1:19" x14ac:dyDescent="0.25">
      <c r="A75" s="11"/>
      <c r="B75" s="16"/>
      <c r="C75" s="12"/>
      <c r="D75" s="11" t="s">
        <v>118</v>
      </c>
      <c r="E75" s="11"/>
      <c r="F75" s="27" t="s">
        <v>119</v>
      </c>
      <c r="G75" s="11" t="s">
        <v>95</v>
      </c>
      <c r="H75" s="11"/>
      <c r="I75" s="13">
        <v>5</v>
      </c>
      <c r="J75" s="11">
        <v>1</v>
      </c>
      <c r="K75" s="13">
        <f t="shared" si="1"/>
        <v>5</v>
      </c>
      <c r="L75" s="13"/>
      <c r="M75" s="11"/>
      <c r="N75" s="13"/>
      <c r="O75" s="11" t="s">
        <v>111</v>
      </c>
      <c r="P75" s="1"/>
      <c r="Q75" s="1"/>
    </row>
    <row r="76" spans="1:19" x14ac:dyDescent="0.25">
      <c r="A76" s="11"/>
      <c r="B76" s="16"/>
      <c r="C76" s="12"/>
      <c r="D76" s="11" t="s">
        <v>120</v>
      </c>
      <c r="E76" s="11"/>
      <c r="F76" s="27" t="s">
        <v>121</v>
      </c>
      <c r="G76" s="11" t="s">
        <v>95</v>
      </c>
      <c r="H76" s="11"/>
      <c r="I76" s="13">
        <v>48</v>
      </c>
      <c r="J76" s="11">
        <v>1</v>
      </c>
      <c r="K76" s="13">
        <f t="shared" si="1"/>
        <v>48</v>
      </c>
      <c r="L76" s="13"/>
      <c r="M76" s="11"/>
      <c r="N76" s="13"/>
      <c r="O76" s="11" t="s">
        <v>111</v>
      </c>
      <c r="P76" s="1"/>
      <c r="Q76" s="1"/>
    </row>
    <row r="77" spans="1:19" x14ac:dyDescent="0.25">
      <c r="A77" s="11"/>
      <c r="B77" s="16"/>
      <c r="C77" s="12"/>
      <c r="D77" s="11" t="s">
        <v>122</v>
      </c>
      <c r="E77" s="11"/>
      <c r="F77" s="27" t="s">
        <v>123</v>
      </c>
      <c r="G77" s="11" t="s">
        <v>95</v>
      </c>
      <c r="H77" s="11"/>
      <c r="I77" s="13">
        <v>25</v>
      </c>
      <c r="J77" s="11">
        <v>1</v>
      </c>
      <c r="K77" s="13">
        <f t="shared" si="1"/>
        <v>25</v>
      </c>
      <c r="L77" s="13"/>
      <c r="M77" s="11"/>
      <c r="N77" s="13"/>
      <c r="O77" s="11" t="s">
        <v>111</v>
      </c>
      <c r="P77" s="1"/>
      <c r="Q77" s="1"/>
    </row>
    <row r="78" spans="1:19" x14ac:dyDescent="0.25">
      <c r="A78" s="11"/>
      <c r="B78" s="16"/>
      <c r="C78" s="12"/>
      <c r="D78" s="11" t="s">
        <v>124</v>
      </c>
      <c r="E78" s="11"/>
      <c r="F78" s="11"/>
      <c r="G78" s="11" t="s">
        <v>125</v>
      </c>
      <c r="H78" s="11"/>
      <c r="I78" s="13">
        <v>15</v>
      </c>
      <c r="J78" s="11">
        <v>1</v>
      </c>
      <c r="K78" s="13">
        <f>I78*J78</f>
        <v>15</v>
      </c>
      <c r="L78" s="13"/>
      <c r="M78" s="11"/>
      <c r="N78" s="13"/>
      <c r="O78" s="11" t="s">
        <v>111</v>
      </c>
      <c r="P78" s="1"/>
      <c r="Q78" s="1"/>
    </row>
    <row r="79" spans="1:19" x14ac:dyDescent="0.25">
      <c r="A79" s="11"/>
      <c r="B79" s="16"/>
      <c r="C79" s="12"/>
      <c r="D79" s="11" t="s">
        <v>126</v>
      </c>
      <c r="E79" s="11"/>
      <c r="F79" s="11" t="s">
        <v>127</v>
      </c>
      <c r="G79" s="11" t="s">
        <v>128</v>
      </c>
      <c r="H79" s="11"/>
      <c r="I79" s="13">
        <v>8</v>
      </c>
      <c r="J79" s="11">
        <v>4</v>
      </c>
      <c r="K79" s="13">
        <f>I79*J79</f>
        <v>32</v>
      </c>
      <c r="L79" s="13">
        <v>250</v>
      </c>
      <c r="M79" s="28" t="s">
        <v>129</v>
      </c>
      <c r="N79" s="14">
        <v>609</v>
      </c>
      <c r="O79" s="11"/>
      <c r="P79" s="1"/>
      <c r="Q79" s="1"/>
    </row>
    <row r="80" spans="1:19" x14ac:dyDescent="0.25">
      <c r="A80" s="1"/>
      <c r="B80" s="17"/>
      <c r="C80" s="15"/>
      <c r="D80" s="1"/>
      <c r="E80" s="1"/>
      <c r="F80" s="1"/>
      <c r="G80" s="1"/>
      <c r="H80" s="1"/>
      <c r="I80" s="3"/>
      <c r="J80" s="1"/>
      <c r="K80" s="3"/>
      <c r="L80" s="3"/>
      <c r="M80" s="1"/>
      <c r="N80" s="3"/>
      <c r="O80" s="1"/>
      <c r="P80" s="1"/>
      <c r="Q80" s="1"/>
    </row>
    <row r="81" spans="1:19" x14ac:dyDescent="0.25">
      <c r="A81" s="1"/>
      <c r="B81" s="17"/>
      <c r="C81" s="15"/>
      <c r="D81" s="1"/>
      <c r="E81" s="1"/>
      <c r="F81" s="1"/>
      <c r="G81" s="1"/>
      <c r="H81" s="1"/>
      <c r="I81" s="3"/>
      <c r="J81" s="1"/>
      <c r="K81" s="3"/>
      <c r="L81" s="3"/>
      <c r="M81" s="1"/>
      <c r="N81" s="3"/>
      <c r="O81" s="1"/>
      <c r="P81" s="1"/>
      <c r="Q81" s="1"/>
    </row>
    <row r="82" spans="1:19" x14ac:dyDescent="0.25">
      <c r="A82" s="11" t="s">
        <v>18</v>
      </c>
      <c r="B82" s="16">
        <v>42354</v>
      </c>
      <c r="C82" s="12">
        <v>219500</v>
      </c>
      <c r="D82" s="11" t="s">
        <v>96</v>
      </c>
      <c r="E82" s="11"/>
      <c r="F82" s="11" t="s">
        <v>20</v>
      </c>
      <c r="G82" s="11" t="s">
        <v>21</v>
      </c>
      <c r="H82" s="11"/>
      <c r="I82" s="13">
        <v>21</v>
      </c>
      <c r="J82" s="11">
        <v>2</v>
      </c>
      <c r="K82" s="13">
        <f>I82*J82</f>
        <v>42</v>
      </c>
      <c r="L82" s="13"/>
      <c r="M82" s="11"/>
      <c r="N82" s="13"/>
      <c r="O82" s="11" t="s">
        <v>130</v>
      </c>
      <c r="P82" s="1"/>
      <c r="Q82" s="1"/>
    </row>
    <row r="83" spans="1:19" x14ac:dyDescent="0.25">
      <c r="A83" s="11"/>
      <c r="B83" s="16"/>
      <c r="C83" s="12"/>
      <c r="D83" s="11" t="s">
        <v>23</v>
      </c>
      <c r="E83" s="11"/>
      <c r="F83" s="11" t="s">
        <v>24</v>
      </c>
      <c r="G83" s="11" t="s">
        <v>25</v>
      </c>
      <c r="H83" s="11"/>
      <c r="I83" s="19">
        <v>5.25</v>
      </c>
      <c r="J83" s="11">
        <v>1</v>
      </c>
      <c r="K83" s="13">
        <f t="shared" ref="K83:K85" si="2">I83*J83</f>
        <v>5.25</v>
      </c>
      <c r="L83" s="13"/>
      <c r="M83" s="11"/>
      <c r="N83" s="13"/>
      <c r="O83" s="11" t="s">
        <v>102</v>
      </c>
      <c r="P83" s="1"/>
      <c r="Q83" s="1"/>
    </row>
    <row r="84" spans="1:19" x14ac:dyDescent="0.25">
      <c r="A84" s="26"/>
      <c r="B84" s="16"/>
      <c r="C84" s="12"/>
      <c r="D84" s="11" t="s">
        <v>28</v>
      </c>
      <c r="E84" s="11"/>
      <c r="F84" s="11" t="s">
        <v>81</v>
      </c>
      <c r="G84" s="11" t="s">
        <v>25</v>
      </c>
      <c r="H84" s="11"/>
      <c r="I84" s="13">
        <v>5.79</v>
      </c>
      <c r="J84" s="11">
        <v>1</v>
      </c>
      <c r="K84" s="13">
        <f t="shared" si="2"/>
        <v>5.79</v>
      </c>
      <c r="L84" s="13"/>
      <c r="M84" s="11"/>
      <c r="N84" s="13"/>
      <c r="O84" s="11" t="s">
        <v>102</v>
      </c>
    </row>
    <row r="85" spans="1:19" x14ac:dyDescent="0.25">
      <c r="A85" s="11"/>
      <c r="B85" s="16"/>
      <c r="C85" s="12"/>
      <c r="D85" s="11" t="s">
        <v>26</v>
      </c>
      <c r="E85" s="11"/>
      <c r="F85" s="11" t="s">
        <v>27</v>
      </c>
      <c r="G85" s="11" t="s">
        <v>25</v>
      </c>
      <c r="H85" s="11"/>
      <c r="I85" s="13">
        <v>10</v>
      </c>
      <c r="J85" s="11">
        <v>1</v>
      </c>
      <c r="K85" s="13">
        <f t="shared" si="2"/>
        <v>10</v>
      </c>
      <c r="L85" s="13"/>
      <c r="M85" s="11"/>
      <c r="N85" s="14"/>
      <c r="O85" s="11" t="s">
        <v>102</v>
      </c>
    </row>
    <row r="86" spans="1:19" x14ac:dyDescent="0.25">
      <c r="A86" s="11"/>
      <c r="B86" s="16"/>
      <c r="C86" s="12"/>
      <c r="D86" s="11" t="s">
        <v>14</v>
      </c>
      <c r="E86" s="11"/>
      <c r="F86" s="11"/>
      <c r="G86" s="11"/>
      <c r="H86" s="11"/>
      <c r="I86" s="13"/>
      <c r="J86" s="11"/>
      <c r="K86" s="13"/>
      <c r="L86" s="13">
        <v>15</v>
      </c>
      <c r="M86" s="28" t="s">
        <v>131</v>
      </c>
      <c r="N86" s="14">
        <f>K82+K83+K84+K85+L86</f>
        <v>78.039999999999992</v>
      </c>
      <c r="O86" s="18"/>
    </row>
    <row r="87" spans="1:19" x14ac:dyDescent="0.25">
      <c r="A87" s="1"/>
      <c r="B87" s="17"/>
      <c r="C87" s="15"/>
      <c r="D87" s="1"/>
      <c r="E87" s="1"/>
      <c r="F87" s="1"/>
      <c r="G87" s="1"/>
      <c r="H87" s="1"/>
      <c r="I87" s="3"/>
      <c r="J87" s="1"/>
      <c r="K87" s="3"/>
      <c r="L87" s="3"/>
      <c r="M87" s="1"/>
      <c r="N87" s="3"/>
      <c r="O87" s="1"/>
      <c r="P87" s="1"/>
      <c r="Q87" s="1"/>
    </row>
    <row r="88" spans="1:19" x14ac:dyDescent="0.25">
      <c r="A88" s="1"/>
      <c r="B88" s="17"/>
      <c r="C88" s="15"/>
      <c r="D88" s="1"/>
      <c r="E88" s="1"/>
      <c r="F88" s="1"/>
      <c r="G88" s="1"/>
      <c r="H88" s="1"/>
      <c r="I88" s="3"/>
      <c r="J88" s="1"/>
      <c r="K88" s="3"/>
      <c r="L88" s="3"/>
      <c r="M88" s="1"/>
      <c r="N88" s="3"/>
      <c r="O88" s="1"/>
      <c r="P88" s="1"/>
      <c r="R88" s="1"/>
      <c r="S88" s="1"/>
    </row>
    <row r="89" spans="1:19" x14ac:dyDescent="0.25">
      <c r="A89" s="11" t="s">
        <v>58</v>
      </c>
      <c r="B89" s="16">
        <v>42578</v>
      </c>
      <c r="C89" s="12">
        <v>226200</v>
      </c>
      <c r="D89" s="11" t="s">
        <v>96</v>
      </c>
      <c r="E89" s="11"/>
      <c r="F89" s="11" t="s">
        <v>20</v>
      </c>
      <c r="G89" s="11" t="s">
        <v>21</v>
      </c>
      <c r="H89" s="11"/>
      <c r="I89" s="13">
        <v>21</v>
      </c>
      <c r="J89" s="11">
        <v>2</v>
      </c>
      <c r="K89" s="13">
        <f>I89*J89</f>
        <v>42</v>
      </c>
      <c r="L89" s="13">
        <v>5</v>
      </c>
      <c r="M89" s="11"/>
      <c r="N89" s="13"/>
      <c r="O89" s="11" t="s">
        <v>132</v>
      </c>
      <c r="P89" s="29"/>
      <c r="Q89" s="29"/>
    </row>
    <row r="90" spans="1:19" x14ac:dyDescent="0.25">
      <c r="A90" s="11"/>
      <c r="B90" s="16"/>
      <c r="C90" s="12"/>
      <c r="D90" s="11" t="s">
        <v>23</v>
      </c>
      <c r="E90" s="11"/>
      <c r="F90" s="11" t="s">
        <v>24</v>
      </c>
      <c r="G90" s="11" t="s">
        <v>25</v>
      </c>
      <c r="H90" s="11"/>
      <c r="I90" s="19">
        <v>7.5</v>
      </c>
      <c r="J90" s="11">
        <v>1</v>
      </c>
      <c r="K90" s="13">
        <f t="shared" ref="K90:K100" si="3">I90*J90</f>
        <v>7.5</v>
      </c>
      <c r="L90" s="13"/>
      <c r="M90" s="11"/>
      <c r="N90" s="13"/>
      <c r="O90" s="11" t="s">
        <v>100</v>
      </c>
      <c r="P90" s="29"/>
      <c r="Q90" s="29"/>
    </row>
    <row r="91" spans="1:19" x14ac:dyDescent="0.25">
      <c r="A91" s="26"/>
      <c r="B91" s="16"/>
      <c r="C91" s="12"/>
      <c r="D91" s="11" t="s">
        <v>28</v>
      </c>
      <c r="E91" s="11"/>
      <c r="F91" s="11" t="s">
        <v>81</v>
      </c>
      <c r="G91" s="11" t="s">
        <v>25</v>
      </c>
      <c r="H91" s="11"/>
      <c r="I91" s="13">
        <v>5.79</v>
      </c>
      <c r="J91" s="11">
        <v>1</v>
      </c>
      <c r="K91" s="13">
        <f t="shared" si="3"/>
        <v>5.79</v>
      </c>
      <c r="L91" s="13">
        <v>10</v>
      </c>
      <c r="M91" s="11"/>
      <c r="N91" s="13"/>
      <c r="O91" s="11" t="s">
        <v>102</v>
      </c>
      <c r="P91" s="29"/>
      <c r="Q91" s="29"/>
    </row>
    <row r="92" spans="1:19" x14ac:dyDescent="0.25">
      <c r="A92" s="11"/>
      <c r="B92" s="16"/>
      <c r="C92" s="12"/>
      <c r="D92" s="11" t="s">
        <v>26</v>
      </c>
      <c r="E92" s="11"/>
      <c r="F92" s="11" t="s">
        <v>27</v>
      </c>
      <c r="G92" s="11" t="s">
        <v>25</v>
      </c>
      <c r="H92" s="11"/>
      <c r="I92" s="13">
        <v>10</v>
      </c>
      <c r="J92" s="11">
        <v>1</v>
      </c>
      <c r="K92" s="13">
        <f t="shared" si="3"/>
        <v>10</v>
      </c>
      <c r="L92" s="13"/>
      <c r="M92" s="11"/>
      <c r="N92" s="14"/>
      <c r="O92" s="11" t="s">
        <v>133</v>
      </c>
      <c r="P92" s="29"/>
      <c r="Q92" s="29"/>
    </row>
    <row r="93" spans="1:19" x14ac:dyDescent="0.25">
      <c r="A93" s="11"/>
      <c r="B93" s="16"/>
      <c r="C93" s="12"/>
      <c r="D93" s="11" t="s">
        <v>134</v>
      </c>
      <c r="E93" s="11"/>
      <c r="F93" s="11" t="s">
        <v>135</v>
      </c>
      <c r="G93" s="11" t="s">
        <v>136</v>
      </c>
      <c r="H93" s="11"/>
      <c r="I93" s="13">
        <v>32</v>
      </c>
      <c r="J93" s="11">
        <v>2</v>
      </c>
      <c r="K93" s="13">
        <f t="shared" si="3"/>
        <v>64</v>
      </c>
      <c r="L93" s="13"/>
      <c r="M93" s="11"/>
      <c r="N93" s="13"/>
      <c r="O93" s="11" t="s">
        <v>137</v>
      </c>
      <c r="P93" s="1"/>
      <c r="Q93" s="1"/>
    </row>
    <row r="94" spans="1:19" x14ac:dyDescent="0.25">
      <c r="A94" s="11"/>
      <c r="B94" s="16"/>
      <c r="C94" s="12"/>
      <c r="D94" s="11" t="s">
        <v>138</v>
      </c>
      <c r="E94" s="11"/>
      <c r="F94" s="11" t="s">
        <v>139</v>
      </c>
      <c r="G94" s="11" t="s">
        <v>140</v>
      </c>
      <c r="H94" s="11"/>
      <c r="I94" s="13">
        <v>13.74</v>
      </c>
      <c r="J94" s="11">
        <v>1</v>
      </c>
      <c r="K94" s="13">
        <f t="shared" si="3"/>
        <v>13.74</v>
      </c>
      <c r="L94" s="13">
        <v>30</v>
      </c>
      <c r="M94" s="11"/>
      <c r="N94" s="13"/>
      <c r="O94" s="11" t="s">
        <v>102</v>
      </c>
      <c r="P94" s="1"/>
      <c r="Q94" s="1"/>
    </row>
    <row r="95" spans="1:19" x14ac:dyDescent="0.25">
      <c r="A95" s="11"/>
      <c r="B95" s="16"/>
      <c r="C95" s="12"/>
      <c r="D95" s="11" t="s">
        <v>141</v>
      </c>
      <c r="E95" s="11"/>
      <c r="F95" s="11" t="s">
        <v>142</v>
      </c>
      <c r="G95" s="11" t="s">
        <v>45</v>
      </c>
      <c r="H95" s="11"/>
      <c r="I95" s="13">
        <v>33.5</v>
      </c>
      <c r="J95" s="11">
        <v>1</v>
      </c>
      <c r="K95" s="13">
        <f t="shared" si="3"/>
        <v>33.5</v>
      </c>
      <c r="L95" s="13">
        <v>30</v>
      </c>
      <c r="M95" s="11"/>
      <c r="N95" s="13"/>
      <c r="O95" s="11" t="s">
        <v>102</v>
      </c>
      <c r="P95" s="1"/>
      <c r="Q95" s="1"/>
    </row>
    <row r="96" spans="1:19" x14ac:dyDescent="0.25">
      <c r="A96" s="11"/>
      <c r="B96" s="16"/>
      <c r="C96" s="12"/>
      <c r="D96" s="11" t="s">
        <v>43</v>
      </c>
      <c r="E96" s="11"/>
      <c r="F96" s="11" t="s">
        <v>143</v>
      </c>
      <c r="G96" s="11"/>
      <c r="H96" s="11"/>
      <c r="I96" s="13">
        <v>30</v>
      </c>
      <c r="J96" s="11">
        <v>1</v>
      </c>
      <c r="K96" s="13">
        <f t="shared" si="3"/>
        <v>30</v>
      </c>
      <c r="L96" s="13">
        <v>10</v>
      </c>
      <c r="M96" s="18"/>
      <c r="N96" s="13"/>
      <c r="O96" s="11" t="s">
        <v>144</v>
      </c>
      <c r="P96" s="1"/>
      <c r="Q96" s="1"/>
    </row>
    <row r="97" spans="1:17" x14ac:dyDescent="0.25">
      <c r="A97" s="11"/>
      <c r="B97" s="16"/>
      <c r="C97" s="12"/>
      <c r="D97" s="11" t="s">
        <v>46</v>
      </c>
      <c r="E97" s="11"/>
      <c r="F97" s="11" t="s">
        <v>143</v>
      </c>
      <c r="G97" s="11"/>
      <c r="H97" s="11"/>
      <c r="I97" s="13">
        <v>30</v>
      </c>
      <c r="J97" s="11">
        <v>1</v>
      </c>
      <c r="K97" s="13">
        <f t="shared" si="3"/>
        <v>30</v>
      </c>
      <c r="L97" s="13">
        <v>10</v>
      </c>
      <c r="M97" s="18"/>
      <c r="N97" s="13"/>
      <c r="O97" s="11" t="s">
        <v>144</v>
      </c>
      <c r="P97" s="1"/>
      <c r="Q97" s="1"/>
    </row>
    <row r="98" spans="1:17" x14ac:dyDescent="0.25">
      <c r="A98" s="11"/>
      <c r="B98" s="16"/>
      <c r="C98" s="12"/>
      <c r="D98" s="11" t="s">
        <v>145</v>
      </c>
      <c r="E98" s="11"/>
      <c r="F98" s="11" t="s">
        <v>146</v>
      </c>
      <c r="G98" s="11" t="s">
        <v>147</v>
      </c>
      <c r="H98" s="11"/>
      <c r="I98" s="13">
        <v>7.68</v>
      </c>
      <c r="J98" s="11">
        <v>1</v>
      </c>
      <c r="K98" s="13">
        <f t="shared" si="3"/>
        <v>7.68</v>
      </c>
      <c r="L98" s="13">
        <v>5</v>
      </c>
      <c r="M98" s="11"/>
      <c r="N98" s="13"/>
      <c r="O98" s="11" t="s">
        <v>102</v>
      </c>
      <c r="P98" s="1"/>
      <c r="Q98" s="1"/>
    </row>
    <row r="99" spans="1:17" x14ac:dyDescent="0.25">
      <c r="A99" s="11"/>
      <c r="B99" s="16"/>
      <c r="C99" s="12"/>
      <c r="D99" s="11" t="s">
        <v>148</v>
      </c>
      <c r="E99" s="11"/>
      <c r="F99" s="11" t="s">
        <v>149</v>
      </c>
      <c r="G99" s="11" t="s">
        <v>150</v>
      </c>
      <c r="H99" s="11"/>
      <c r="I99" s="13">
        <v>20.05</v>
      </c>
      <c r="J99" s="11">
        <v>1</v>
      </c>
      <c r="K99" s="13">
        <f t="shared" si="3"/>
        <v>20.05</v>
      </c>
      <c r="L99" s="13"/>
      <c r="M99" s="11"/>
      <c r="N99" s="13"/>
      <c r="O99" s="11" t="s">
        <v>102</v>
      </c>
      <c r="P99" s="1"/>
      <c r="Q99" s="1"/>
    </row>
    <row r="100" spans="1:17" x14ac:dyDescent="0.25">
      <c r="A100" s="11"/>
      <c r="B100" s="16"/>
      <c r="C100" s="12"/>
      <c r="D100" s="11" t="s">
        <v>151</v>
      </c>
      <c r="E100" s="11"/>
      <c r="F100" s="11" t="s">
        <v>152</v>
      </c>
      <c r="G100" s="11" t="s">
        <v>45</v>
      </c>
      <c r="H100" s="11"/>
      <c r="I100" s="13">
        <v>10</v>
      </c>
      <c r="J100" s="11">
        <v>2</v>
      </c>
      <c r="K100" s="13">
        <f t="shared" si="3"/>
        <v>20</v>
      </c>
      <c r="L100" s="13">
        <v>40</v>
      </c>
      <c r="M100" s="11"/>
      <c r="N100" s="13"/>
      <c r="O100" s="11" t="s">
        <v>153</v>
      </c>
      <c r="P100" s="1"/>
      <c r="Q100" s="1"/>
    </row>
    <row r="101" spans="1:17" x14ac:dyDescent="0.25">
      <c r="A101" s="11"/>
      <c r="B101" s="16"/>
      <c r="C101" s="12"/>
      <c r="D101" s="11" t="s">
        <v>154</v>
      </c>
      <c r="E101" s="11"/>
      <c r="F101" s="11"/>
      <c r="G101" s="11"/>
      <c r="H101" s="11"/>
      <c r="I101" s="13"/>
      <c r="J101" s="11"/>
      <c r="K101" s="13"/>
      <c r="L101" s="13">
        <v>5</v>
      </c>
      <c r="M101" s="11"/>
      <c r="N101" s="13"/>
      <c r="O101" s="11"/>
      <c r="P101" s="1"/>
      <c r="Q101" s="1"/>
    </row>
    <row r="102" spans="1:17" x14ac:dyDescent="0.25">
      <c r="A102" s="11"/>
      <c r="B102" s="16"/>
      <c r="C102" s="12"/>
      <c r="D102" s="11" t="s">
        <v>155</v>
      </c>
      <c r="E102" s="11"/>
      <c r="F102" s="11"/>
      <c r="G102" s="11"/>
      <c r="H102" s="11"/>
      <c r="I102" s="13"/>
      <c r="J102" s="11"/>
      <c r="K102" s="13"/>
      <c r="L102" s="13">
        <v>10</v>
      </c>
      <c r="M102" s="11" t="s">
        <v>156</v>
      </c>
      <c r="N102" s="14">
        <f>K89+K90+K91+K92+K93+K94+K95+K96+K97+K98+K99+K100+L89+L91+L94+L95+L96+L97+L98+L100+L101+L102</f>
        <v>439.26</v>
      </c>
      <c r="O102" s="11"/>
      <c r="P102" s="1"/>
      <c r="Q102" s="1"/>
    </row>
    <row r="103" spans="1:17" x14ac:dyDescent="0.25">
      <c r="A103" s="1"/>
      <c r="B103" s="17"/>
      <c r="C103" s="15"/>
      <c r="D103" s="1"/>
      <c r="E103" s="1"/>
      <c r="F103" s="1"/>
      <c r="G103" s="1"/>
      <c r="H103" s="1"/>
      <c r="I103" s="3"/>
      <c r="J103" s="1"/>
      <c r="K103" s="3"/>
      <c r="L103" s="3"/>
      <c r="M103" s="1"/>
      <c r="N103" s="3"/>
      <c r="O103" s="1"/>
      <c r="P103" s="1"/>
      <c r="Q103" s="1"/>
    </row>
    <row r="104" spans="1:17" x14ac:dyDescent="0.25">
      <c r="A104" s="1"/>
      <c r="B104" s="17"/>
      <c r="C104" s="15"/>
      <c r="D104" s="1"/>
      <c r="E104" s="1"/>
      <c r="F104" s="1"/>
      <c r="G104" s="1"/>
      <c r="H104" s="1"/>
      <c r="I104" s="3"/>
      <c r="J104" s="1"/>
      <c r="K104" s="3"/>
      <c r="L104" s="3"/>
      <c r="M104" s="1"/>
      <c r="N104" s="3"/>
      <c r="O104" s="1"/>
      <c r="P104" s="1"/>
      <c r="Q104" s="1"/>
    </row>
    <row r="105" spans="1:17" x14ac:dyDescent="0.25">
      <c r="A105" s="11" t="s">
        <v>31</v>
      </c>
      <c r="B105" s="16">
        <v>42727</v>
      </c>
      <c r="C105" s="12">
        <v>230000</v>
      </c>
      <c r="D105" s="11" t="s">
        <v>157</v>
      </c>
      <c r="E105" s="11"/>
      <c r="F105" s="11"/>
      <c r="G105" s="11" t="s">
        <v>158</v>
      </c>
      <c r="H105" s="11"/>
      <c r="I105" s="13">
        <v>190</v>
      </c>
      <c r="J105" s="11">
        <v>1</v>
      </c>
      <c r="K105" s="13">
        <f>I105*J105</f>
        <v>190</v>
      </c>
      <c r="L105" s="13">
        <v>25</v>
      </c>
      <c r="M105" s="11"/>
      <c r="N105" s="13"/>
      <c r="O105" s="11"/>
      <c r="P105" s="1"/>
      <c r="Q105" s="1"/>
    </row>
    <row r="106" spans="1:17" x14ac:dyDescent="0.25">
      <c r="A106" s="11"/>
      <c r="B106" s="16"/>
      <c r="C106" s="12"/>
      <c r="D106" s="11" t="s">
        <v>159</v>
      </c>
      <c r="E106" s="11"/>
      <c r="F106" s="11"/>
      <c r="G106" s="11"/>
      <c r="H106" s="11"/>
      <c r="I106" s="13">
        <v>25</v>
      </c>
      <c r="J106" s="11">
        <v>1</v>
      </c>
      <c r="K106" s="13">
        <f>I106*J106</f>
        <v>25</v>
      </c>
      <c r="L106" s="13">
        <v>45</v>
      </c>
      <c r="N106" s="14"/>
      <c r="O106" s="11"/>
      <c r="P106" s="1"/>
      <c r="Q106" s="1"/>
    </row>
    <row r="107" spans="1:17" x14ac:dyDescent="0.25">
      <c r="A107" s="11"/>
      <c r="B107" s="16"/>
      <c r="C107" s="12"/>
      <c r="D107" s="11" t="s">
        <v>160</v>
      </c>
      <c r="E107" s="11"/>
      <c r="F107" s="11"/>
      <c r="G107" s="11"/>
      <c r="H107" s="11"/>
      <c r="I107" s="13">
        <v>30</v>
      </c>
      <c r="J107" s="11">
        <v>1</v>
      </c>
      <c r="K107" s="13">
        <f t="shared" ref="K107:K108" si="4">I107*J107</f>
        <v>30</v>
      </c>
      <c r="L107" s="13"/>
      <c r="M107" s="11"/>
      <c r="N107" s="14"/>
      <c r="O107" s="11"/>
      <c r="P107" s="1"/>
      <c r="Q107" s="1"/>
    </row>
    <row r="108" spans="1:17" x14ac:dyDescent="0.25">
      <c r="A108" s="11"/>
      <c r="B108" s="16"/>
      <c r="C108" s="12"/>
      <c r="D108" s="11" t="s">
        <v>161</v>
      </c>
      <c r="E108" s="11"/>
      <c r="F108" s="11"/>
      <c r="G108" s="11"/>
      <c r="H108" s="11"/>
      <c r="I108" s="13">
        <v>10</v>
      </c>
      <c r="J108" s="11">
        <v>1</v>
      </c>
      <c r="K108" s="13">
        <f t="shared" si="4"/>
        <v>10</v>
      </c>
      <c r="L108" s="13"/>
      <c r="M108" s="11" t="s">
        <v>162</v>
      </c>
      <c r="N108" s="14">
        <f>K105+K106+K107+K108+L105+L106</f>
        <v>325</v>
      </c>
      <c r="O108" s="11"/>
      <c r="P108" s="1"/>
      <c r="Q108" s="1"/>
    </row>
    <row r="109" spans="1:17" x14ac:dyDescent="0.25">
      <c r="A109" s="1"/>
      <c r="B109" s="17"/>
      <c r="C109" s="15"/>
      <c r="D109" s="1"/>
      <c r="E109" s="1"/>
      <c r="F109" s="1"/>
      <c r="G109" s="1"/>
      <c r="H109" s="1"/>
      <c r="I109" s="3"/>
      <c r="J109" s="1"/>
      <c r="K109" s="3"/>
      <c r="L109" s="3"/>
      <c r="M109" s="1"/>
      <c r="N109" s="3"/>
      <c r="O109" s="1"/>
      <c r="P109" s="1"/>
      <c r="Q109" s="1"/>
    </row>
    <row r="110" spans="1:17" x14ac:dyDescent="0.25">
      <c r="A110" s="1"/>
      <c r="B110" s="17"/>
      <c r="C110" s="15"/>
      <c r="D110" s="1"/>
      <c r="E110" s="1"/>
      <c r="F110" s="1"/>
      <c r="G110" s="1"/>
      <c r="H110" s="1"/>
      <c r="I110" s="3"/>
      <c r="J110" s="1"/>
      <c r="K110" s="3"/>
      <c r="L110" s="3"/>
      <c r="M110" s="1"/>
      <c r="N110" s="3"/>
      <c r="O110" s="1"/>
      <c r="P110" s="1"/>
      <c r="Q110" s="1"/>
    </row>
    <row r="111" spans="1:17" x14ac:dyDescent="0.25">
      <c r="A111" s="11" t="s">
        <v>37</v>
      </c>
      <c r="B111" s="16">
        <v>42780</v>
      </c>
      <c r="C111" s="12">
        <v>231700</v>
      </c>
      <c r="D111" s="11" t="s">
        <v>163</v>
      </c>
      <c r="E111" s="11"/>
      <c r="F111" s="11" t="s">
        <v>164</v>
      </c>
      <c r="G111" s="11" t="s">
        <v>165</v>
      </c>
      <c r="H111" s="11"/>
      <c r="I111" s="13">
        <v>53</v>
      </c>
      <c r="J111" s="11">
        <v>1</v>
      </c>
      <c r="K111" s="13">
        <v>53</v>
      </c>
      <c r="L111" s="13">
        <v>26</v>
      </c>
      <c r="M111" s="11" t="s">
        <v>166</v>
      </c>
      <c r="N111" s="14">
        <f>I111+L111</f>
        <v>79</v>
      </c>
      <c r="O111" s="11" t="s">
        <v>102</v>
      </c>
      <c r="P111" s="1"/>
      <c r="Q111" s="1"/>
    </row>
    <row r="112" spans="1:17" x14ac:dyDescent="0.25">
      <c r="A112" s="1"/>
      <c r="B112" s="17"/>
      <c r="C112" s="15"/>
      <c r="D112" s="1"/>
      <c r="E112" s="1"/>
      <c r="F112" s="1"/>
      <c r="G112" s="1"/>
      <c r="H112" s="1"/>
      <c r="I112" s="3"/>
      <c r="J112" s="1"/>
      <c r="K112" s="3"/>
      <c r="L112" s="3"/>
      <c r="M112" s="1"/>
      <c r="N112" s="3"/>
      <c r="O112" s="1"/>
      <c r="P112" s="1"/>
      <c r="Q112" s="1"/>
    </row>
    <row r="113" spans="1:17" x14ac:dyDescent="0.25">
      <c r="A113" s="1"/>
      <c r="B113" s="17"/>
      <c r="C113" s="15"/>
      <c r="D113" s="1"/>
      <c r="E113" s="1"/>
      <c r="F113" s="1"/>
      <c r="G113" s="1"/>
      <c r="H113" s="1"/>
      <c r="I113" s="3"/>
      <c r="J113" s="1"/>
      <c r="K113" s="3"/>
      <c r="L113" s="3"/>
      <c r="M113" s="1"/>
      <c r="N113" s="3"/>
      <c r="O113" s="1"/>
      <c r="P113" s="1"/>
      <c r="Q113" s="1"/>
    </row>
    <row r="114" spans="1:17" x14ac:dyDescent="0.25">
      <c r="A114" s="11" t="s">
        <v>58</v>
      </c>
      <c r="B114" s="16">
        <v>42818</v>
      </c>
      <c r="C114" s="12">
        <v>233150</v>
      </c>
      <c r="D114" s="11" t="s">
        <v>96</v>
      </c>
      <c r="E114" s="11"/>
      <c r="F114" s="11" t="s">
        <v>20</v>
      </c>
      <c r="G114" s="11" t="s">
        <v>21</v>
      </c>
      <c r="H114" s="11"/>
      <c r="I114" s="13">
        <v>20.86</v>
      </c>
      <c r="J114" s="11">
        <v>1</v>
      </c>
      <c r="K114" s="13">
        <f>I114*J114</f>
        <v>20.86</v>
      </c>
      <c r="L114" s="13"/>
      <c r="M114" s="11"/>
      <c r="N114" s="13"/>
      <c r="O114" s="11" t="s">
        <v>167</v>
      </c>
      <c r="P114" s="1"/>
      <c r="Q114" s="30"/>
    </row>
    <row r="115" spans="1:17" x14ac:dyDescent="0.25">
      <c r="A115" s="11"/>
      <c r="B115" s="11"/>
      <c r="C115" s="11"/>
      <c r="D115" s="11" t="s">
        <v>23</v>
      </c>
      <c r="E115" s="11"/>
      <c r="F115" s="11" t="s">
        <v>24</v>
      </c>
      <c r="G115" s="11" t="s">
        <v>25</v>
      </c>
      <c r="H115" s="11"/>
      <c r="I115" s="13">
        <v>8.4499999999999993</v>
      </c>
      <c r="J115" s="11">
        <v>1</v>
      </c>
      <c r="K115" s="13">
        <f>I115*J115</f>
        <v>8.4499999999999993</v>
      </c>
      <c r="L115" s="13"/>
      <c r="M115" s="11"/>
      <c r="N115" s="13"/>
      <c r="O115" s="11"/>
      <c r="P115" s="1"/>
      <c r="Q115" s="1"/>
    </row>
    <row r="116" spans="1:17" x14ac:dyDescent="0.25">
      <c r="A116" s="11"/>
      <c r="B116" s="11"/>
      <c r="C116" s="11"/>
      <c r="D116" s="11" t="s">
        <v>28</v>
      </c>
      <c r="E116" s="11"/>
      <c r="F116" s="11" t="s">
        <v>81</v>
      </c>
      <c r="G116" s="11" t="s">
        <v>25</v>
      </c>
      <c r="H116" s="11"/>
      <c r="I116" s="13">
        <v>5.5</v>
      </c>
      <c r="J116" s="11">
        <v>1</v>
      </c>
      <c r="K116" s="13">
        <f t="shared" ref="K116:K121" si="5">I116*J116</f>
        <v>5.5</v>
      </c>
      <c r="L116" s="13"/>
      <c r="M116" s="11"/>
      <c r="N116" s="13"/>
      <c r="O116" s="11"/>
      <c r="P116" s="1"/>
      <c r="Q116" s="1"/>
    </row>
    <row r="117" spans="1:17" x14ac:dyDescent="0.25">
      <c r="A117" s="11"/>
      <c r="B117" s="11"/>
      <c r="C117" s="11"/>
      <c r="D117" s="11" t="s">
        <v>26</v>
      </c>
      <c r="E117" s="11"/>
      <c r="F117" s="11" t="s">
        <v>168</v>
      </c>
      <c r="G117" s="11" t="s">
        <v>169</v>
      </c>
      <c r="H117" s="11"/>
      <c r="I117" s="13">
        <v>9.6999999999999993</v>
      </c>
      <c r="J117" s="11">
        <v>1</v>
      </c>
      <c r="K117" s="13">
        <f t="shared" si="5"/>
        <v>9.6999999999999993</v>
      </c>
      <c r="L117" s="13"/>
      <c r="M117" s="11"/>
      <c r="N117" s="13"/>
      <c r="O117" s="11"/>
      <c r="P117" s="1"/>
      <c r="Q117" s="1"/>
    </row>
    <row r="118" spans="1:17" x14ac:dyDescent="0.25">
      <c r="A118" s="11"/>
      <c r="B118" s="11"/>
      <c r="C118" s="11"/>
      <c r="D118" s="11" t="s">
        <v>51</v>
      </c>
      <c r="E118" s="11"/>
      <c r="F118" s="11" t="s">
        <v>170</v>
      </c>
      <c r="G118" s="11" t="s">
        <v>169</v>
      </c>
      <c r="H118" s="11"/>
      <c r="I118" s="13">
        <v>5</v>
      </c>
      <c r="J118" s="11">
        <v>1</v>
      </c>
      <c r="K118" s="13">
        <f t="shared" si="5"/>
        <v>5</v>
      </c>
      <c r="L118" s="13">
        <v>13</v>
      </c>
      <c r="M118" s="11" t="s">
        <v>156</v>
      </c>
      <c r="N118" s="13"/>
      <c r="O118" s="11" t="s">
        <v>171</v>
      </c>
      <c r="P118" s="1"/>
      <c r="Q118" s="1"/>
    </row>
    <row r="119" spans="1:17" x14ac:dyDescent="0.25">
      <c r="A119" s="11"/>
      <c r="B119" s="11"/>
      <c r="C119" s="11"/>
      <c r="D119" s="11" t="s">
        <v>172</v>
      </c>
      <c r="E119" s="11"/>
      <c r="F119" s="11" t="s">
        <v>173</v>
      </c>
      <c r="G119" s="11" t="s">
        <v>174</v>
      </c>
      <c r="H119" s="11"/>
      <c r="I119" s="13">
        <v>40.56</v>
      </c>
      <c r="J119" s="11">
        <v>1</v>
      </c>
      <c r="K119" s="13">
        <f t="shared" si="5"/>
        <v>40.56</v>
      </c>
      <c r="L119" s="13"/>
      <c r="M119" s="11"/>
      <c r="N119" s="13"/>
      <c r="O119" s="11"/>
      <c r="P119" s="1"/>
      <c r="Q119" s="1"/>
    </row>
    <row r="120" spans="1:17" x14ac:dyDescent="0.25">
      <c r="A120" s="11"/>
      <c r="B120" s="11"/>
      <c r="C120" s="11"/>
      <c r="D120" s="11" t="s">
        <v>49</v>
      </c>
      <c r="E120" s="11"/>
      <c r="F120" s="11" t="s">
        <v>175</v>
      </c>
      <c r="G120" s="11" t="s">
        <v>147</v>
      </c>
      <c r="H120" s="11"/>
      <c r="I120" s="13">
        <v>9.1999999999999993</v>
      </c>
      <c r="J120" s="11">
        <v>1</v>
      </c>
      <c r="K120" s="13">
        <f t="shared" si="5"/>
        <v>9.1999999999999993</v>
      </c>
      <c r="L120" s="13"/>
      <c r="M120" s="11"/>
      <c r="N120" s="13"/>
      <c r="O120" s="11"/>
      <c r="P120" s="1"/>
      <c r="Q120" s="1"/>
    </row>
    <row r="121" spans="1:17" x14ac:dyDescent="0.25">
      <c r="A121" s="11"/>
      <c r="B121" s="11"/>
      <c r="C121" s="11"/>
      <c r="D121" s="11" t="s">
        <v>176</v>
      </c>
      <c r="E121" s="11"/>
      <c r="F121" s="11" t="s">
        <v>177</v>
      </c>
      <c r="G121" s="11" t="s">
        <v>128</v>
      </c>
      <c r="H121" s="11"/>
      <c r="I121" s="13">
        <v>4.9800000000000004</v>
      </c>
      <c r="J121" s="11">
        <v>1</v>
      </c>
      <c r="K121" s="13">
        <f t="shared" si="5"/>
        <v>4.9800000000000004</v>
      </c>
      <c r="L121" s="13">
        <v>30</v>
      </c>
      <c r="M121" s="11" t="s">
        <v>156</v>
      </c>
      <c r="N121" s="14">
        <f>K115+K116+K117+K118+K119+K120+K121+L118+L121+K114</f>
        <v>147.25</v>
      </c>
      <c r="O121" s="11" t="s">
        <v>178</v>
      </c>
      <c r="P121" s="1"/>
      <c r="Q121" s="1"/>
    </row>
    <row r="122" spans="1:17" x14ac:dyDescent="0.25">
      <c r="A122" s="1"/>
      <c r="B122" s="17"/>
      <c r="C122" s="15"/>
      <c r="D122" s="1"/>
      <c r="E122" s="1"/>
      <c r="F122" s="1"/>
      <c r="G122" s="1"/>
      <c r="H122" s="1"/>
      <c r="I122" s="3"/>
      <c r="J122" s="1"/>
      <c r="K122" s="3"/>
      <c r="L122" s="3"/>
      <c r="M122" s="1"/>
      <c r="N122" s="3"/>
      <c r="O122" s="1"/>
      <c r="P122" s="1"/>
      <c r="Q122" s="1"/>
    </row>
    <row r="123" spans="1:17" x14ac:dyDescent="0.25">
      <c r="A123" s="1"/>
      <c r="B123" s="17"/>
      <c r="C123" s="15"/>
      <c r="D123" s="1"/>
      <c r="E123" s="1"/>
      <c r="G123" s="1"/>
      <c r="H123" s="1"/>
      <c r="I123" s="3"/>
      <c r="J123" s="1"/>
      <c r="K123" s="3"/>
      <c r="L123" s="3"/>
      <c r="M123" s="1"/>
      <c r="N123" s="3"/>
      <c r="O123" s="1"/>
      <c r="P123" s="1"/>
      <c r="Q123" s="1"/>
    </row>
    <row r="124" spans="1:17" x14ac:dyDescent="0.25">
      <c r="A124" s="11" t="s">
        <v>37</v>
      </c>
      <c r="B124" s="16">
        <v>42951</v>
      </c>
      <c r="C124" s="12">
        <v>238000</v>
      </c>
      <c r="D124" s="11" t="s">
        <v>179</v>
      </c>
      <c r="E124" s="11" t="s">
        <v>180</v>
      </c>
      <c r="F124" s="31" t="s">
        <v>181</v>
      </c>
      <c r="G124" s="11" t="s">
        <v>147</v>
      </c>
      <c r="H124" s="11"/>
      <c r="I124" s="13">
        <v>10</v>
      </c>
      <c r="J124" s="11">
        <v>1</v>
      </c>
      <c r="K124" s="13">
        <f>I124*J124</f>
        <v>10</v>
      </c>
      <c r="L124" s="13">
        <v>20</v>
      </c>
      <c r="M124" s="11"/>
      <c r="N124" s="13"/>
      <c r="O124" s="11" t="s">
        <v>137</v>
      </c>
      <c r="P124" s="32"/>
      <c r="Q124" s="1"/>
    </row>
    <row r="125" spans="1:17" x14ac:dyDescent="0.25">
      <c r="A125" s="11"/>
      <c r="B125" s="16"/>
      <c r="C125" s="12"/>
      <c r="D125" s="11" t="s">
        <v>182</v>
      </c>
      <c r="E125" s="11" t="s">
        <v>183</v>
      </c>
      <c r="F125" s="31" t="s">
        <v>184</v>
      </c>
      <c r="G125" s="11" t="s">
        <v>147</v>
      </c>
      <c r="H125" s="11"/>
      <c r="I125" s="13">
        <v>10</v>
      </c>
      <c r="J125" s="11">
        <v>1</v>
      </c>
      <c r="K125" s="13">
        <f t="shared" ref="K125:K135" si="6">I125*J125</f>
        <v>10</v>
      </c>
      <c r="L125" s="13"/>
      <c r="M125" s="11"/>
      <c r="N125" s="13"/>
      <c r="O125" s="11" t="s">
        <v>137</v>
      </c>
      <c r="P125" s="32"/>
      <c r="Q125" s="1"/>
    </row>
    <row r="126" spans="1:17" x14ac:dyDescent="0.25">
      <c r="A126" s="11"/>
      <c r="B126" s="16"/>
      <c r="C126" s="12"/>
      <c r="D126" s="11" t="s">
        <v>185</v>
      </c>
      <c r="E126" s="11" t="s">
        <v>186</v>
      </c>
      <c r="F126" s="31" t="s">
        <v>187</v>
      </c>
      <c r="G126" s="11" t="s">
        <v>188</v>
      </c>
      <c r="H126" s="11"/>
      <c r="I126" s="13">
        <v>5</v>
      </c>
      <c r="J126" s="11">
        <v>2</v>
      </c>
      <c r="K126" s="13">
        <f t="shared" si="6"/>
        <v>10</v>
      </c>
      <c r="L126" s="13"/>
      <c r="M126" s="11"/>
      <c r="N126" s="13"/>
      <c r="O126" s="11" t="s">
        <v>137</v>
      </c>
      <c r="P126" s="1"/>
      <c r="Q126" s="1"/>
    </row>
    <row r="127" spans="1:17" x14ac:dyDescent="0.25">
      <c r="A127" s="11"/>
      <c r="B127" s="16"/>
      <c r="C127" s="12"/>
      <c r="D127" s="11" t="s">
        <v>189</v>
      </c>
      <c r="E127" s="11" t="s">
        <v>190</v>
      </c>
      <c r="F127" s="31" t="s">
        <v>191</v>
      </c>
      <c r="G127" s="11" t="s">
        <v>147</v>
      </c>
      <c r="H127" s="11"/>
      <c r="I127" s="13">
        <v>13.8</v>
      </c>
      <c r="J127" s="11">
        <v>1</v>
      </c>
      <c r="K127" s="13">
        <f t="shared" si="6"/>
        <v>13.8</v>
      </c>
      <c r="L127" s="13"/>
      <c r="M127" s="11"/>
      <c r="N127" s="13"/>
      <c r="O127" s="11" t="s">
        <v>102</v>
      </c>
      <c r="P127" s="32"/>
      <c r="Q127" s="1"/>
    </row>
    <row r="128" spans="1:17" x14ac:dyDescent="0.25">
      <c r="A128" s="11"/>
      <c r="B128" s="16"/>
      <c r="C128" s="12"/>
      <c r="D128" s="11" t="s">
        <v>192</v>
      </c>
      <c r="E128" s="11" t="s">
        <v>193</v>
      </c>
      <c r="F128" s="31" t="s">
        <v>194</v>
      </c>
      <c r="G128" s="11" t="s">
        <v>147</v>
      </c>
      <c r="H128" s="11"/>
      <c r="I128" s="13">
        <v>13.8</v>
      </c>
      <c r="J128" s="11">
        <v>1</v>
      </c>
      <c r="K128" s="13">
        <f t="shared" si="6"/>
        <v>13.8</v>
      </c>
      <c r="L128" s="13"/>
      <c r="M128" s="11"/>
      <c r="N128" s="13"/>
      <c r="O128" s="11" t="s">
        <v>102</v>
      </c>
      <c r="P128" s="32"/>
      <c r="Q128" s="1"/>
    </row>
    <row r="129" spans="1:27" x14ac:dyDescent="0.25">
      <c r="A129" s="11"/>
      <c r="B129" s="16"/>
      <c r="C129" s="12"/>
      <c r="D129" s="11" t="s">
        <v>195</v>
      </c>
      <c r="E129" s="11"/>
      <c r="F129" s="31"/>
      <c r="G129" s="11"/>
      <c r="H129" s="11"/>
      <c r="I129" s="13"/>
      <c r="J129" s="11"/>
      <c r="K129" s="13"/>
      <c r="L129" s="13">
        <v>20</v>
      </c>
      <c r="M129" s="11"/>
      <c r="N129" s="13"/>
      <c r="P129" s="32"/>
      <c r="Q129" s="1"/>
    </row>
    <row r="130" spans="1:27" x14ac:dyDescent="0.25">
      <c r="A130" s="11"/>
      <c r="B130" s="16"/>
      <c r="C130" s="12"/>
      <c r="D130" s="11" t="s">
        <v>196</v>
      </c>
      <c r="E130" s="11"/>
      <c r="F130" s="31"/>
      <c r="G130" s="11"/>
      <c r="H130" s="11"/>
      <c r="I130" s="13"/>
      <c r="J130" s="11"/>
      <c r="K130" s="13"/>
      <c r="L130" s="13">
        <v>5</v>
      </c>
      <c r="M130" s="11" t="s">
        <v>156</v>
      </c>
      <c r="N130" s="13"/>
      <c r="P130" s="32"/>
      <c r="Q130" s="1"/>
    </row>
    <row r="131" spans="1:27" x14ac:dyDescent="0.25">
      <c r="A131" s="33"/>
      <c r="B131" s="34"/>
      <c r="C131" s="35"/>
      <c r="D131" s="33" t="s">
        <v>197</v>
      </c>
      <c r="E131" s="33"/>
      <c r="F131" s="36"/>
      <c r="G131" s="33"/>
      <c r="H131" s="33"/>
      <c r="I131" s="37"/>
      <c r="J131" s="33"/>
      <c r="K131" s="37"/>
      <c r="L131" s="37">
        <v>20</v>
      </c>
      <c r="M131" s="11" t="s">
        <v>64</v>
      </c>
      <c r="N131" s="38">
        <f>K124+K125+K126+K127+K128+L124+L129+L130+L131</f>
        <v>122.6</v>
      </c>
      <c r="O131" s="33" t="s">
        <v>198</v>
      </c>
      <c r="P131" s="32"/>
      <c r="Q131" s="1"/>
    </row>
    <row r="132" spans="1:27" x14ac:dyDescent="0.25">
      <c r="A132" s="1"/>
      <c r="B132" s="17"/>
      <c r="C132" s="15"/>
      <c r="D132" s="1"/>
      <c r="E132" s="1"/>
      <c r="F132" s="32"/>
      <c r="G132" s="1"/>
      <c r="H132" s="1"/>
      <c r="I132" s="3"/>
      <c r="J132" s="1"/>
      <c r="K132" s="3"/>
      <c r="L132" s="3"/>
      <c r="M132" s="1"/>
      <c r="N132" s="3"/>
      <c r="O132" s="1"/>
      <c r="P132" s="32"/>
      <c r="Q132" s="1"/>
    </row>
    <row r="133" spans="1:27" x14ac:dyDescent="0.25">
      <c r="A133" s="1"/>
      <c r="B133" s="17"/>
      <c r="C133" s="15"/>
      <c r="D133" s="1"/>
      <c r="E133" s="1"/>
      <c r="F133" s="32"/>
      <c r="G133" s="1"/>
      <c r="H133" s="1"/>
      <c r="I133" s="3"/>
      <c r="J133" s="1"/>
      <c r="K133" s="3"/>
      <c r="L133" s="3"/>
      <c r="M133" s="1"/>
      <c r="N133" s="3"/>
      <c r="O133" s="1"/>
      <c r="P133" s="32"/>
      <c r="Q133" s="1"/>
      <c r="T133" s="1"/>
    </row>
    <row r="134" spans="1:27" x14ac:dyDescent="0.25">
      <c r="A134" s="11" t="s">
        <v>58</v>
      </c>
      <c r="B134" s="16">
        <v>43053</v>
      </c>
      <c r="C134" s="12">
        <v>240580</v>
      </c>
      <c r="D134" s="11" t="s">
        <v>199</v>
      </c>
      <c r="E134" s="26" t="s">
        <v>200</v>
      </c>
      <c r="F134" s="18"/>
      <c r="G134" s="11" t="s">
        <v>95</v>
      </c>
      <c r="H134" s="11"/>
      <c r="I134" s="13">
        <v>20.5</v>
      </c>
      <c r="J134" s="11">
        <v>1</v>
      </c>
      <c r="K134" s="13">
        <f t="shared" ref="K134" si="7">I134*J134</f>
        <v>20.5</v>
      </c>
      <c r="L134" s="13"/>
      <c r="M134" s="11"/>
      <c r="N134" s="13"/>
      <c r="O134" s="11" t="s">
        <v>201</v>
      </c>
      <c r="P134" s="11"/>
      <c r="Q134" s="39"/>
      <c r="R134" s="40"/>
    </row>
    <row r="135" spans="1:27" x14ac:dyDescent="0.25">
      <c r="A135" s="11"/>
      <c r="B135" s="16"/>
      <c r="C135" s="12"/>
      <c r="D135" s="11" t="s">
        <v>202</v>
      </c>
      <c r="E135" s="41" t="s">
        <v>203</v>
      </c>
      <c r="F135" s="42" t="s">
        <v>204</v>
      </c>
      <c r="G135" s="11" t="s">
        <v>95</v>
      </c>
      <c r="H135" s="11"/>
      <c r="I135" s="13">
        <v>13</v>
      </c>
      <c r="J135" s="11">
        <v>2</v>
      </c>
      <c r="K135" s="13">
        <f t="shared" si="6"/>
        <v>26</v>
      </c>
      <c r="L135" s="13"/>
      <c r="M135" s="11"/>
      <c r="N135" s="13"/>
      <c r="O135" s="11" t="s">
        <v>201</v>
      </c>
      <c r="P135" s="11"/>
      <c r="Q135" s="39"/>
      <c r="U135" s="40"/>
    </row>
    <row r="136" spans="1:27" x14ac:dyDescent="0.25">
      <c r="A136" s="11"/>
      <c r="B136" s="16"/>
      <c r="C136" s="12"/>
      <c r="D136" s="11" t="s">
        <v>205</v>
      </c>
      <c r="E136" s="11" t="s">
        <v>206</v>
      </c>
      <c r="F136" s="31" t="s">
        <v>207</v>
      </c>
      <c r="G136" s="11" t="s">
        <v>128</v>
      </c>
      <c r="H136" s="11">
        <v>26.95</v>
      </c>
      <c r="I136" s="13">
        <f>H136/1.99</f>
        <v>13.542713567839195</v>
      </c>
      <c r="J136" s="11">
        <v>2</v>
      </c>
      <c r="K136" s="13">
        <f>I136*J136</f>
        <v>27.08542713567839</v>
      </c>
      <c r="L136" s="13"/>
      <c r="M136" s="11"/>
      <c r="N136" s="13"/>
      <c r="O136" s="11" t="s">
        <v>102</v>
      </c>
      <c r="P136" s="11"/>
      <c r="Q136" s="39"/>
      <c r="AA136" s="43"/>
    </row>
    <row r="137" spans="1:27" x14ac:dyDescent="0.25">
      <c r="A137" s="11"/>
      <c r="B137" s="16"/>
      <c r="C137" s="12"/>
      <c r="D137" s="11" t="s">
        <v>208</v>
      </c>
      <c r="E137" s="11" t="s">
        <v>209</v>
      </c>
      <c r="F137" s="11">
        <v>3397118908</v>
      </c>
      <c r="G137" s="11" t="s">
        <v>210</v>
      </c>
      <c r="H137" s="11">
        <v>28.67</v>
      </c>
      <c r="I137" s="13">
        <f>H137/1.99</f>
        <v>14.407035175879399</v>
      </c>
      <c r="J137" s="11">
        <v>1</v>
      </c>
      <c r="K137" s="13">
        <f t="shared" ref="K137:K142" si="8">I137*J137</f>
        <v>14.407035175879399</v>
      </c>
      <c r="L137" s="13"/>
      <c r="M137" s="11"/>
      <c r="N137" s="13"/>
      <c r="O137" s="11" t="s">
        <v>102</v>
      </c>
      <c r="P137" s="11"/>
      <c r="Q137" s="1"/>
    </row>
    <row r="138" spans="1:27" x14ac:dyDescent="0.25">
      <c r="A138" s="11"/>
      <c r="B138" s="16"/>
      <c r="C138" s="12"/>
      <c r="D138" s="11" t="s">
        <v>23</v>
      </c>
      <c r="E138" s="11"/>
      <c r="F138" s="11" t="s">
        <v>24</v>
      </c>
      <c r="G138" s="11" t="s">
        <v>25</v>
      </c>
      <c r="H138" s="11">
        <v>10.91</v>
      </c>
      <c r="I138" s="13">
        <f t="shared" ref="I138:I142" si="9">H138/1.99</f>
        <v>5.4824120603015079</v>
      </c>
      <c r="J138" s="11">
        <v>1</v>
      </c>
      <c r="K138" s="13">
        <f t="shared" si="8"/>
        <v>5.4824120603015079</v>
      </c>
      <c r="L138" s="13"/>
      <c r="M138" s="11"/>
      <c r="N138" s="13"/>
      <c r="O138" s="11" t="s">
        <v>102</v>
      </c>
      <c r="P138" s="11"/>
      <c r="Q138" s="1"/>
    </row>
    <row r="139" spans="1:27" x14ac:dyDescent="0.25">
      <c r="A139" s="11"/>
      <c r="B139" s="16"/>
      <c r="C139" s="12"/>
      <c r="D139" s="11" t="s">
        <v>28</v>
      </c>
      <c r="E139" s="11"/>
      <c r="F139" s="11" t="s">
        <v>81</v>
      </c>
      <c r="G139" s="11" t="s">
        <v>25</v>
      </c>
      <c r="H139" s="11">
        <v>11.05</v>
      </c>
      <c r="I139" s="13">
        <f t="shared" si="9"/>
        <v>5.5527638190954773</v>
      </c>
      <c r="J139" s="11">
        <v>1</v>
      </c>
      <c r="K139" s="13">
        <f t="shared" si="8"/>
        <v>5.5527638190954773</v>
      </c>
      <c r="L139" s="13"/>
      <c r="M139" s="11"/>
      <c r="N139" s="13"/>
      <c r="O139" s="11" t="s">
        <v>102</v>
      </c>
      <c r="P139" s="11"/>
      <c r="Q139" s="1"/>
    </row>
    <row r="140" spans="1:27" x14ac:dyDescent="0.25">
      <c r="A140" s="11"/>
      <c r="B140" s="16"/>
      <c r="C140" s="12"/>
      <c r="D140" s="11" t="s">
        <v>26</v>
      </c>
      <c r="E140" s="11"/>
      <c r="F140" s="11" t="s">
        <v>211</v>
      </c>
      <c r="G140" s="11" t="s">
        <v>212</v>
      </c>
      <c r="H140" s="11">
        <v>16.91</v>
      </c>
      <c r="I140" s="13">
        <f t="shared" si="9"/>
        <v>8.4974874371859297</v>
      </c>
      <c r="J140" s="11">
        <v>1</v>
      </c>
      <c r="K140" s="13">
        <f t="shared" si="8"/>
        <v>8.4974874371859297</v>
      </c>
      <c r="L140" s="13"/>
      <c r="M140" s="11"/>
      <c r="N140" s="13"/>
      <c r="O140" s="11" t="s">
        <v>102</v>
      </c>
      <c r="P140" s="11"/>
      <c r="Q140" s="1"/>
    </row>
    <row r="141" spans="1:27" x14ac:dyDescent="0.25">
      <c r="A141" s="11"/>
      <c r="B141" s="16"/>
      <c r="C141" s="12"/>
      <c r="D141" s="11" t="s">
        <v>213</v>
      </c>
      <c r="E141" s="11"/>
      <c r="F141" s="44" t="s">
        <v>214</v>
      </c>
      <c r="G141" s="11" t="s">
        <v>215</v>
      </c>
      <c r="H141" s="45">
        <v>39</v>
      </c>
      <c r="I141" s="13">
        <f t="shared" si="9"/>
        <v>19.597989949748744</v>
      </c>
      <c r="J141" s="11">
        <v>1</v>
      </c>
      <c r="K141" s="13">
        <f t="shared" si="8"/>
        <v>19.597989949748744</v>
      </c>
      <c r="L141" s="13"/>
      <c r="M141" s="11"/>
      <c r="N141" s="13"/>
      <c r="O141" s="11" t="s">
        <v>216</v>
      </c>
      <c r="P141" s="11"/>
      <c r="Q141" s="1"/>
    </row>
    <row r="142" spans="1:27" x14ac:dyDescent="0.25">
      <c r="A142" s="11"/>
      <c r="B142" s="16"/>
      <c r="C142" s="12"/>
      <c r="D142" s="11" t="s">
        <v>96</v>
      </c>
      <c r="E142" s="11"/>
      <c r="F142" s="44" t="s">
        <v>214</v>
      </c>
      <c r="G142" s="11" t="s">
        <v>215</v>
      </c>
      <c r="H142" s="45">
        <v>27</v>
      </c>
      <c r="I142" s="13">
        <f t="shared" si="9"/>
        <v>13.5678391959799</v>
      </c>
      <c r="J142" s="11">
        <v>1</v>
      </c>
      <c r="K142" s="13">
        <f t="shared" si="8"/>
        <v>13.5678391959799</v>
      </c>
      <c r="L142" s="13">
        <v>35</v>
      </c>
      <c r="M142" s="11" t="s">
        <v>156</v>
      </c>
      <c r="N142" s="14">
        <f>K134+K135+K136+K137+K138+K139+K140+K141+K142+L142</f>
        <v>175.69095477386935</v>
      </c>
      <c r="O142" s="11" t="s">
        <v>217</v>
      </c>
      <c r="P142" s="11"/>
      <c r="Q142" s="1"/>
    </row>
    <row r="143" spans="1:27" x14ac:dyDescent="0.25">
      <c r="A143" s="1"/>
      <c r="B143" s="17"/>
      <c r="C143" s="15"/>
      <c r="D143" s="1"/>
      <c r="E143" s="1"/>
      <c r="F143" s="43"/>
      <c r="G143" s="1"/>
      <c r="H143" s="29"/>
      <c r="I143" s="3"/>
      <c r="J143" s="1"/>
      <c r="K143" s="3"/>
      <c r="L143" s="3"/>
      <c r="M143" s="1"/>
      <c r="N143" s="3"/>
      <c r="O143" s="1"/>
      <c r="P143" s="1"/>
      <c r="Q143" s="1"/>
    </row>
    <row r="144" spans="1:27" x14ac:dyDescent="0.25">
      <c r="A144" s="1"/>
      <c r="B144" s="17"/>
      <c r="C144" s="15"/>
      <c r="D144" s="1"/>
      <c r="E144" s="1"/>
      <c r="F144" s="43"/>
      <c r="G144" s="1"/>
      <c r="H144" s="29"/>
      <c r="I144" s="3"/>
      <c r="J144" s="1"/>
      <c r="K144" s="3"/>
      <c r="L144" s="3"/>
      <c r="M144" s="1"/>
      <c r="N144" s="3"/>
      <c r="O144" s="1"/>
      <c r="P144" s="1"/>
      <c r="Q144" s="1"/>
    </row>
    <row r="145" spans="1:17" x14ac:dyDescent="0.25">
      <c r="A145" s="11" t="s">
        <v>37</v>
      </c>
      <c r="B145" s="16">
        <v>43153</v>
      </c>
      <c r="C145" s="12"/>
      <c r="D145" s="11" t="s">
        <v>218</v>
      </c>
      <c r="E145" s="46" t="s">
        <v>219</v>
      </c>
      <c r="F145" s="46" t="s">
        <v>220</v>
      </c>
      <c r="G145" s="11" t="s">
        <v>221</v>
      </c>
      <c r="H145" s="45">
        <v>86</v>
      </c>
      <c r="I145" s="13">
        <f>H145/1.96</f>
        <v>43.877551020408163</v>
      </c>
      <c r="J145" s="11">
        <v>1</v>
      </c>
      <c r="K145" s="13"/>
      <c r="L145" s="13"/>
      <c r="M145" s="11"/>
      <c r="N145" s="13"/>
      <c r="O145" s="11"/>
      <c r="P145" s="11"/>
      <c r="Q145" s="1"/>
    </row>
    <row r="146" spans="1:17" x14ac:dyDescent="0.25">
      <c r="A146" s="11"/>
      <c r="B146" s="16"/>
      <c r="C146" s="12"/>
      <c r="D146" s="11" t="s">
        <v>222</v>
      </c>
      <c r="E146" s="18"/>
      <c r="F146" s="31" t="s">
        <v>223</v>
      </c>
      <c r="G146" s="11" t="s">
        <v>95</v>
      </c>
      <c r="H146" s="18"/>
      <c r="I146" s="13">
        <v>25</v>
      </c>
      <c r="J146" s="11">
        <v>1</v>
      </c>
      <c r="K146" s="13"/>
      <c r="L146" s="13">
        <v>80</v>
      </c>
      <c r="M146" s="11" t="s">
        <v>224</v>
      </c>
      <c r="N146" s="14">
        <f>I145+I146+L146</f>
        <v>148.87755102040816</v>
      </c>
      <c r="O146" s="11"/>
      <c r="P146" s="11"/>
      <c r="Q146" s="1"/>
    </row>
    <row r="147" spans="1:17" x14ac:dyDescent="0.25">
      <c r="A147" s="1"/>
      <c r="B147" s="17"/>
      <c r="F147" s="43"/>
      <c r="G147" s="1"/>
      <c r="H147" s="29"/>
      <c r="I147" s="3"/>
      <c r="J147" s="1"/>
      <c r="K147" s="3"/>
      <c r="L147" s="3"/>
      <c r="M147" s="1"/>
      <c r="N147" s="3"/>
      <c r="O147" s="1"/>
      <c r="P147" s="1"/>
      <c r="Q147" s="1"/>
    </row>
    <row r="148" spans="1:17" x14ac:dyDescent="0.25">
      <c r="A148" s="1"/>
      <c r="B148" s="17"/>
      <c r="C148" s="15"/>
      <c r="D148" s="1"/>
      <c r="E148" s="1"/>
      <c r="F148" s="43"/>
      <c r="G148" s="1"/>
      <c r="H148" s="29"/>
      <c r="I148" s="3"/>
      <c r="J148" s="1"/>
      <c r="K148" s="3"/>
      <c r="L148" s="3"/>
      <c r="M148" s="1"/>
      <c r="N148" s="3"/>
      <c r="O148" s="1"/>
      <c r="P148" s="1"/>
      <c r="Q148" s="1"/>
    </row>
    <row r="149" spans="1:17" x14ac:dyDescent="0.25">
      <c r="A149" s="11" t="s">
        <v>58</v>
      </c>
      <c r="B149" s="16">
        <v>43363</v>
      </c>
      <c r="C149" s="12">
        <v>247500</v>
      </c>
      <c r="D149" s="11" t="s">
        <v>213</v>
      </c>
      <c r="E149" s="11"/>
      <c r="F149" s="44" t="s">
        <v>214</v>
      </c>
      <c r="G149" s="11" t="s">
        <v>215</v>
      </c>
      <c r="H149" s="45">
        <v>49</v>
      </c>
      <c r="I149" s="13">
        <f>H149/2.12</f>
        <v>23.113207547169811</v>
      </c>
      <c r="J149" s="11">
        <v>2</v>
      </c>
      <c r="K149" s="13">
        <f t="shared" ref="K149:K164" si="10">I149*J149</f>
        <v>46.226415094339622</v>
      </c>
      <c r="L149" s="13"/>
      <c r="M149" s="11"/>
      <c r="N149" s="13"/>
      <c r="O149" s="11" t="s">
        <v>225</v>
      </c>
      <c r="P149" s="11"/>
      <c r="Q149" s="1"/>
    </row>
    <row r="150" spans="1:17" x14ac:dyDescent="0.25">
      <c r="A150" s="11"/>
      <c r="B150" s="16"/>
      <c r="C150" s="12"/>
      <c r="D150" s="11" t="s">
        <v>23</v>
      </c>
      <c r="E150" s="11"/>
      <c r="F150" s="44" t="s">
        <v>226</v>
      </c>
      <c r="G150" s="11" t="s">
        <v>169</v>
      </c>
      <c r="H150" s="45">
        <v>7.55</v>
      </c>
      <c r="I150" s="13">
        <f t="shared" ref="I150:I164" si="11">H150/2.12</f>
        <v>3.5613207547169807</v>
      </c>
      <c r="J150" s="11">
        <v>1</v>
      </c>
      <c r="K150" s="13">
        <f t="shared" si="10"/>
        <v>3.5613207547169807</v>
      </c>
      <c r="L150" s="13"/>
      <c r="M150" s="11"/>
      <c r="N150" s="13"/>
      <c r="O150" s="11"/>
      <c r="P150" s="11"/>
      <c r="Q150" s="1"/>
    </row>
    <row r="151" spans="1:17" x14ac:dyDescent="0.25">
      <c r="A151" s="11"/>
      <c r="B151" s="16"/>
      <c r="C151" s="12"/>
      <c r="D151" s="11" t="s">
        <v>28</v>
      </c>
      <c r="E151" s="11"/>
      <c r="F151" s="11" t="s">
        <v>81</v>
      </c>
      <c r="G151" s="11" t="s">
        <v>25</v>
      </c>
      <c r="H151" s="45">
        <v>12.89</v>
      </c>
      <c r="I151" s="13">
        <f t="shared" si="11"/>
        <v>6.0801886792452828</v>
      </c>
      <c r="J151" s="11">
        <v>1</v>
      </c>
      <c r="K151" s="13">
        <f t="shared" si="10"/>
        <v>6.0801886792452828</v>
      </c>
      <c r="L151" s="13"/>
      <c r="M151" s="11"/>
      <c r="N151" s="13"/>
      <c r="O151" s="11"/>
      <c r="P151" s="11"/>
      <c r="Q151" s="1"/>
    </row>
    <row r="152" spans="1:17" x14ac:dyDescent="0.25">
      <c r="A152" s="11"/>
      <c r="B152" s="16"/>
      <c r="C152" s="12"/>
      <c r="D152" s="11" t="s">
        <v>26</v>
      </c>
      <c r="E152" s="11"/>
      <c r="F152" s="44" t="s">
        <v>227</v>
      </c>
      <c r="G152" s="11" t="s">
        <v>228</v>
      </c>
      <c r="H152" s="45">
        <v>5.54</v>
      </c>
      <c r="I152" s="13">
        <f t="shared" si="11"/>
        <v>2.6132075471698113</v>
      </c>
      <c r="J152" s="11">
        <v>1</v>
      </c>
      <c r="K152" s="13">
        <f t="shared" si="10"/>
        <v>2.6132075471698113</v>
      </c>
      <c r="L152" s="13"/>
      <c r="M152" s="11"/>
      <c r="N152" s="13"/>
      <c r="O152" s="11"/>
      <c r="P152" s="11"/>
      <c r="Q152" s="1"/>
    </row>
    <row r="153" spans="1:17" x14ac:dyDescent="0.25">
      <c r="A153" s="11"/>
      <c r="B153" s="16"/>
      <c r="C153" s="12"/>
      <c r="D153" s="11" t="s">
        <v>51</v>
      </c>
      <c r="E153" s="11"/>
      <c r="F153" s="44" t="s">
        <v>229</v>
      </c>
      <c r="G153" s="11" t="s">
        <v>228</v>
      </c>
      <c r="H153" s="45">
        <v>6.79</v>
      </c>
      <c r="I153" s="13">
        <f t="shared" si="11"/>
        <v>3.2028301886792452</v>
      </c>
      <c r="J153" s="11">
        <v>1</v>
      </c>
      <c r="K153" s="13">
        <f t="shared" si="10"/>
        <v>3.2028301886792452</v>
      </c>
      <c r="L153" s="13"/>
      <c r="M153" s="11"/>
      <c r="N153" s="13"/>
      <c r="O153" s="44"/>
      <c r="P153" s="11"/>
      <c r="Q153" s="1"/>
    </row>
    <row r="154" spans="1:17" x14ac:dyDescent="0.25">
      <c r="A154" s="11"/>
      <c r="B154" s="16"/>
      <c r="C154" s="12"/>
      <c r="D154" s="11" t="s">
        <v>48</v>
      </c>
      <c r="E154" s="26" t="s">
        <v>230</v>
      </c>
      <c r="F154" s="44" t="s">
        <v>47</v>
      </c>
      <c r="G154" s="11" t="s">
        <v>128</v>
      </c>
      <c r="H154" s="45">
        <v>11.22</v>
      </c>
      <c r="I154" s="13">
        <f t="shared" si="11"/>
        <v>5.2924528301886795</v>
      </c>
      <c r="J154" s="11">
        <v>1</v>
      </c>
      <c r="K154" s="13">
        <f t="shared" si="10"/>
        <v>5.2924528301886795</v>
      </c>
      <c r="L154" s="13"/>
      <c r="M154" s="11"/>
      <c r="N154" s="13"/>
      <c r="O154" s="11"/>
      <c r="P154" s="11"/>
      <c r="Q154" s="1"/>
    </row>
    <row r="155" spans="1:17" x14ac:dyDescent="0.25">
      <c r="A155" s="11"/>
      <c r="B155" s="16"/>
      <c r="C155" s="12"/>
      <c r="D155" s="11" t="s">
        <v>231</v>
      </c>
      <c r="E155" s="11"/>
      <c r="F155" s="44" t="s">
        <v>232</v>
      </c>
      <c r="G155" s="11" t="s">
        <v>140</v>
      </c>
      <c r="H155" s="45">
        <v>69.709999999999994</v>
      </c>
      <c r="I155" s="13">
        <f t="shared" si="11"/>
        <v>32.882075471698109</v>
      </c>
      <c r="J155" s="11">
        <v>2</v>
      </c>
      <c r="K155" s="13">
        <f t="shared" si="10"/>
        <v>65.764150943396217</v>
      </c>
      <c r="L155" s="13"/>
      <c r="M155" s="11"/>
      <c r="N155" s="13"/>
      <c r="O155" s="11"/>
      <c r="P155" s="11"/>
      <c r="Q155" s="1"/>
    </row>
    <row r="156" spans="1:17" x14ac:dyDescent="0.25">
      <c r="A156" s="11"/>
      <c r="B156" s="16"/>
      <c r="C156" s="12"/>
      <c r="D156" s="11" t="s">
        <v>233</v>
      </c>
      <c r="E156" s="11"/>
      <c r="F156" s="44" t="s">
        <v>234</v>
      </c>
      <c r="G156" s="11" t="s">
        <v>235</v>
      </c>
      <c r="H156" s="45">
        <v>27.72</v>
      </c>
      <c r="I156" s="13">
        <f t="shared" si="11"/>
        <v>13.075471698113207</v>
      </c>
      <c r="J156" s="11">
        <v>1</v>
      </c>
      <c r="K156" s="13">
        <f t="shared" si="10"/>
        <v>13.075471698113207</v>
      </c>
      <c r="L156" s="13"/>
      <c r="M156" s="11"/>
      <c r="N156" s="13"/>
      <c r="O156" s="11"/>
      <c r="P156" s="11"/>
      <c r="Q156" s="1"/>
    </row>
    <row r="157" spans="1:17" x14ac:dyDescent="0.25">
      <c r="A157" s="11"/>
      <c r="B157" s="16"/>
      <c r="C157" s="12"/>
      <c r="D157" s="11" t="s">
        <v>138</v>
      </c>
      <c r="E157" s="11"/>
      <c r="F157" s="44" t="s">
        <v>236</v>
      </c>
      <c r="G157" s="11" t="s">
        <v>235</v>
      </c>
      <c r="H157" s="45">
        <v>21.21</v>
      </c>
      <c r="I157" s="13">
        <f t="shared" si="11"/>
        <v>10.004716981132075</v>
      </c>
      <c r="J157" s="11">
        <v>1</v>
      </c>
      <c r="K157" s="13">
        <f t="shared" si="10"/>
        <v>10.004716981132075</v>
      </c>
      <c r="L157" s="13"/>
      <c r="M157" s="11"/>
      <c r="N157" s="13"/>
      <c r="O157" s="11"/>
      <c r="P157" s="11"/>
      <c r="Q157" s="1"/>
    </row>
    <row r="158" spans="1:17" x14ac:dyDescent="0.25">
      <c r="A158" s="11"/>
      <c r="B158" s="16"/>
      <c r="C158" s="12"/>
      <c r="D158" s="11" t="s">
        <v>237</v>
      </c>
      <c r="E158" s="11"/>
      <c r="F158" s="44"/>
      <c r="G158" s="11"/>
      <c r="H158" s="45"/>
      <c r="I158" s="13"/>
      <c r="J158" s="11">
        <v>1</v>
      </c>
      <c r="K158" s="13"/>
      <c r="L158" s="13"/>
      <c r="M158" s="11"/>
      <c r="N158" s="13"/>
      <c r="O158" s="11" t="s">
        <v>238</v>
      </c>
      <c r="P158" s="11"/>
      <c r="Q158" s="1"/>
    </row>
    <row r="159" spans="1:17" x14ac:dyDescent="0.25">
      <c r="A159" s="11"/>
      <c r="B159" s="16"/>
      <c r="C159" s="12"/>
      <c r="D159" s="11" t="s">
        <v>239</v>
      </c>
      <c r="E159" s="11"/>
      <c r="F159" s="47">
        <v>810023</v>
      </c>
      <c r="G159" s="11" t="s">
        <v>240</v>
      </c>
      <c r="H159" s="45">
        <v>9.42</v>
      </c>
      <c r="I159" s="13">
        <f t="shared" si="11"/>
        <v>4.4433962264150937</v>
      </c>
      <c r="J159" s="11">
        <v>2</v>
      </c>
      <c r="K159" s="13">
        <f t="shared" si="10"/>
        <v>8.8867924528301874</v>
      </c>
      <c r="L159" s="13"/>
      <c r="M159" s="11"/>
      <c r="N159" s="13"/>
      <c r="O159" s="11"/>
      <c r="P159" s="11"/>
      <c r="Q159" s="1"/>
    </row>
    <row r="160" spans="1:17" x14ac:dyDescent="0.25">
      <c r="A160" s="11"/>
      <c r="B160" s="16"/>
      <c r="C160" s="12"/>
      <c r="D160" s="11" t="s">
        <v>241</v>
      </c>
      <c r="E160" s="11"/>
      <c r="F160" s="47" t="s">
        <v>242</v>
      </c>
      <c r="G160" s="11" t="s">
        <v>240</v>
      </c>
      <c r="H160" s="45">
        <v>7.2</v>
      </c>
      <c r="I160" s="13">
        <f t="shared" si="11"/>
        <v>3.3962264150943398</v>
      </c>
      <c r="J160" s="11">
        <v>2</v>
      </c>
      <c r="K160" s="13">
        <f t="shared" si="10"/>
        <v>6.7924528301886795</v>
      </c>
      <c r="L160" s="13"/>
      <c r="M160" s="11"/>
      <c r="N160" s="13"/>
      <c r="O160" s="11"/>
      <c r="P160" s="11"/>
      <c r="Q160" s="1"/>
    </row>
    <row r="161" spans="1:17" x14ac:dyDescent="0.25">
      <c r="A161" s="11"/>
      <c r="B161" s="16"/>
      <c r="C161" s="12"/>
      <c r="D161" s="11" t="s">
        <v>243</v>
      </c>
      <c r="E161" s="11"/>
      <c r="F161" s="47"/>
      <c r="G161" s="11" t="s">
        <v>244</v>
      </c>
      <c r="H161" s="45">
        <v>28</v>
      </c>
      <c r="I161" s="13">
        <f t="shared" si="11"/>
        <v>13.20754716981132</v>
      </c>
      <c r="J161" s="11">
        <v>1</v>
      </c>
      <c r="K161" s="13">
        <f t="shared" si="10"/>
        <v>13.20754716981132</v>
      </c>
      <c r="L161" s="13"/>
      <c r="M161" s="11"/>
      <c r="N161" s="13"/>
      <c r="O161" s="11" t="s">
        <v>245</v>
      </c>
      <c r="P161" s="11"/>
      <c r="Q161" s="1"/>
    </row>
    <row r="162" spans="1:17" x14ac:dyDescent="0.25">
      <c r="A162" s="11"/>
      <c r="B162" s="16"/>
      <c r="C162" s="12"/>
      <c r="D162" s="11" t="s">
        <v>246</v>
      </c>
      <c r="E162" s="41" t="s">
        <v>247</v>
      </c>
      <c r="F162" s="47"/>
      <c r="G162" s="11" t="s">
        <v>95</v>
      </c>
      <c r="H162" s="45">
        <v>21.18</v>
      </c>
      <c r="I162" s="13">
        <f t="shared" si="11"/>
        <v>9.9905660377358476</v>
      </c>
      <c r="J162" s="11">
        <v>1</v>
      </c>
      <c r="K162" s="13">
        <f t="shared" si="10"/>
        <v>9.9905660377358476</v>
      </c>
      <c r="L162" s="13"/>
      <c r="M162" s="11"/>
      <c r="N162" s="13"/>
      <c r="O162" s="11" t="s">
        <v>248</v>
      </c>
      <c r="P162" s="11"/>
      <c r="Q162" s="1"/>
    </row>
    <row r="163" spans="1:17" x14ac:dyDescent="0.25">
      <c r="A163" s="11"/>
      <c r="B163" s="16"/>
      <c r="C163" s="12"/>
      <c r="D163" s="11" t="s">
        <v>246</v>
      </c>
      <c r="E163" s="41" t="s">
        <v>249</v>
      </c>
      <c r="F163" s="47"/>
      <c r="G163" s="11" t="s">
        <v>95</v>
      </c>
      <c r="H163" s="45">
        <v>9</v>
      </c>
      <c r="I163" s="13">
        <f t="shared" si="11"/>
        <v>4.2452830188679247</v>
      </c>
      <c r="J163" s="11">
        <v>1</v>
      </c>
      <c r="K163" s="13">
        <f t="shared" si="10"/>
        <v>4.2452830188679247</v>
      </c>
      <c r="L163" s="13"/>
      <c r="M163" s="11"/>
      <c r="N163" s="13"/>
      <c r="O163" s="11" t="s">
        <v>137</v>
      </c>
      <c r="P163" s="11"/>
      <c r="Q163" s="1"/>
    </row>
    <row r="164" spans="1:17" x14ac:dyDescent="0.25">
      <c r="A164" s="11"/>
      <c r="B164" s="16"/>
      <c r="C164" s="12"/>
      <c r="D164" s="48" t="s">
        <v>250</v>
      </c>
      <c r="E164" s="18" t="s">
        <v>251</v>
      </c>
      <c r="F164" s="44"/>
      <c r="G164" s="11" t="s">
        <v>252</v>
      </c>
      <c r="H164" s="45">
        <v>21</v>
      </c>
      <c r="I164" s="13">
        <f t="shared" si="11"/>
        <v>9.9056603773584904</v>
      </c>
      <c r="J164" s="11">
        <v>1</v>
      </c>
      <c r="K164" s="13">
        <f t="shared" si="10"/>
        <v>9.9056603773584904</v>
      </c>
      <c r="L164" s="13">
        <v>170</v>
      </c>
      <c r="M164" s="11" t="s">
        <v>224</v>
      </c>
      <c r="N164" s="14">
        <f>K149+K150+K151+K152+K153+K154+K155+K156+K157+K159+K160+K161+K162+K163+K164+L164</f>
        <v>378.84905660377359</v>
      </c>
      <c r="O164" s="11"/>
      <c r="P164" s="11"/>
      <c r="Q164" s="1"/>
    </row>
    <row r="165" spans="1:17" x14ac:dyDescent="0.25">
      <c r="A165" s="1"/>
      <c r="B165" s="17"/>
      <c r="C165" s="15"/>
      <c r="D165" s="49"/>
      <c r="F165" s="43"/>
      <c r="G165" s="1"/>
      <c r="H165" s="29"/>
      <c r="I165" s="3"/>
      <c r="J165" s="1"/>
      <c r="K165" s="3"/>
      <c r="L165" s="3"/>
      <c r="M165" s="1"/>
      <c r="N165" s="20"/>
      <c r="O165" s="1"/>
      <c r="P165" s="1"/>
      <c r="Q165" s="1"/>
    </row>
    <row r="166" spans="1:17" x14ac:dyDescent="0.25">
      <c r="A166" s="1"/>
      <c r="B166" s="17"/>
      <c r="C166" s="15"/>
      <c r="D166" s="49"/>
      <c r="F166" s="43"/>
      <c r="G166" s="1"/>
      <c r="H166" s="29"/>
      <c r="I166" s="3"/>
      <c r="J166" s="1"/>
      <c r="K166" s="3"/>
      <c r="L166" s="3"/>
      <c r="M166" s="1"/>
      <c r="N166" s="3"/>
      <c r="O166" s="1"/>
      <c r="P166" s="1"/>
      <c r="Q166" s="1"/>
    </row>
    <row r="167" spans="1:17" x14ac:dyDescent="0.25">
      <c r="A167" s="11" t="s">
        <v>37</v>
      </c>
      <c r="B167" s="16">
        <v>43468</v>
      </c>
      <c r="C167" s="12"/>
      <c r="D167" s="11" t="s">
        <v>253</v>
      </c>
      <c r="E167" s="18"/>
      <c r="F167" s="50">
        <v>243932</v>
      </c>
      <c r="G167" s="11" t="s">
        <v>240</v>
      </c>
      <c r="H167" s="45">
        <v>15.24</v>
      </c>
      <c r="I167" s="13">
        <f>H167/2.2</f>
        <v>6.9272727272727268</v>
      </c>
      <c r="J167" s="11">
        <v>2</v>
      </c>
      <c r="K167" s="13">
        <f>I167*J167</f>
        <v>13.854545454545454</v>
      </c>
      <c r="L167" s="13">
        <v>37</v>
      </c>
      <c r="M167" s="11" t="s">
        <v>254</v>
      </c>
      <c r="N167" s="14">
        <f>K167+L167</f>
        <v>50.854545454545452</v>
      </c>
      <c r="O167" s="11"/>
      <c r="P167" s="1"/>
      <c r="Q167" s="1"/>
    </row>
    <row r="168" spans="1:17" x14ac:dyDescent="0.25">
      <c r="A168" s="1"/>
      <c r="B168" s="17"/>
      <c r="C168" s="15"/>
      <c r="D168" s="1"/>
      <c r="F168" s="51"/>
      <c r="G168" s="1"/>
      <c r="H168" s="29"/>
      <c r="I168" s="3"/>
      <c r="J168" s="1"/>
      <c r="K168" s="3"/>
      <c r="L168" s="3"/>
      <c r="M168" s="1"/>
      <c r="N168" s="20"/>
      <c r="O168" s="1"/>
      <c r="P168" s="1"/>
      <c r="Q168" s="1"/>
    </row>
    <row r="169" spans="1:17" x14ac:dyDescent="0.25">
      <c r="A169" s="1"/>
      <c r="B169" s="17"/>
      <c r="C169" s="15"/>
      <c r="D169" s="49"/>
      <c r="F169" s="43"/>
      <c r="G169" s="1"/>
      <c r="H169" s="29"/>
      <c r="I169" s="3"/>
      <c r="J169" s="1"/>
      <c r="K169" s="3"/>
      <c r="L169" s="3"/>
      <c r="M169" s="1"/>
      <c r="N169" s="3"/>
      <c r="O169" s="1"/>
      <c r="P169" s="1"/>
      <c r="Q169" s="1"/>
    </row>
    <row r="170" spans="1:17" x14ac:dyDescent="0.25">
      <c r="A170" s="11" t="s">
        <v>37</v>
      </c>
      <c r="B170" s="16">
        <v>43549</v>
      </c>
      <c r="C170" s="12">
        <v>252400</v>
      </c>
      <c r="D170" s="11" t="s">
        <v>255</v>
      </c>
      <c r="E170" s="18"/>
      <c r="F170" s="44"/>
      <c r="G170" s="11"/>
      <c r="H170" s="45"/>
      <c r="I170" s="13"/>
      <c r="J170" s="11"/>
      <c r="K170" s="13"/>
      <c r="L170" s="13">
        <v>70</v>
      </c>
      <c r="M170" s="11" t="s">
        <v>224</v>
      </c>
      <c r="N170" s="14">
        <f>L170/2.1</f>
        <v>33.333333333333329</v>
      </c>
      <c r="O170" s="11"/>
      <c r="P170" s="1"/>
      <c r="Q170" s="1"/>
    </row>
    <row r="171" spans="1:17" x14ac:dyDescent="0.25">
      <c r="A171" s="1"/>
      <c r="B171" s="17"/>
      <c r="C171" s="15"/>
      <c r="D171" s="1"/>
      <c r="F171" s="43"/>
      <c r="G171" s="1"/>
      <c r="H171" s="29"/>
      <c r="I171" s="3"/>
      <c r="J171" s="1"/>
      <c r="K171" s="3"/>
      <c r="L171" s="3"/>
      <c r="M171" s="1"/>
      <c r="N171" s="20"/>
      <c r="O171" s="1"/>
      <c r="P171" s="1"/>
      <c r="Q171" s="1"/>
    </row>
    <row r="172" spans="1:17" x14ac:dyDescent="0.25">
      <c r="A172" s="1"/>
      <c r="B172" s="17"/>
      <c r="C172" s="15"/>
      <c r="D172" s="49"/>
      <c r="F172" s="43"/>
      <c r="G172" s="1"/>
      <c r="H172" s="29"/>
      <c r="I172" s="3"/>
      <c r="J172" s="1"/>
      <c r="K172" s="3"/>
      <c r="L172" s="3"/>
      <c r="M172" s="1"/>
      <c r="N172" s="3"/>
      <c r="O172" s="1"/>
      <c r="P172" s="1"/>
      <c r="Q172" s="1"/>
    </row>
    <row r="173" spans="1:17" x14ac:dyDescent="0.25">
      <c r="A173" s="11" t="s">
        <v>256</v>
      </c>
      <c r="B173" s="16">
        <v>43613</v>
      </c>
      <c r="C173" s="12"/>
      <c r="D173" s="11" t="s">
        <v>257</v>
      </c>
      <c r="E173" s="18"/>
      <c r="F173" s="44"/>
      <c r="G173" s="11"/>
      <c r="H173" s="45"/>
      <c r="I173" s="13"/>
      <c r="J173" s="11"/>
      <c r="K173" s="13"/>
      <c r="L173" s="13">
        <v>10</v>
      </c>
      <c r="M173" s="11" t="s">
        <v>258</v>
      </c>
      <c r="N173" s="14">
        <v>10</v>
      </c>
      <c r="O173" s="1"/>
      <c r="P173" s="1"/>
      <c r="Q173" s="1"/>
    </row>
    <row r="174" spans="1:17" x14ac:dyDescent="0.25">
      <c r="A174" s="1"/>
      <c r="B174" s="17"/>
      <c r="C174" s="15"/>
      <c r="D174" s="1"/>
      <c r="F174" s="43"/>
      <c r="G174" s="1"/>
      <c r="H174" s="29"/>
      <c r="I174" s="3"/>
      <c r="J174" s="1"/>
      <c r="K174" s="3"/>
      <c r="L174" s="3"/>
      <c r="M174" s="1"/>
      <c r="N174" s="20"/>
      <c r="O174" s="1"/>
      <c r="P174" s="1"/>
      <c r="Q174" s="1"/>
    </row>
    <row r="175" spans="1:17" x14ac:dyDescent="0.25">
      <c r="A175" s="1"/>
      <c r="B175" s="17"/>
      <c r="C175" s="15"/>
      <c r="D175" s="49"/>
      <c r="F175" s="43"/>
      <c r="G175" s="1"/>
      <c r="H175" s="29"/>
      <c r="I175" s="3"/>
      <c r="J175" s="1"/>
      <c r="K175" s="3"/>
      <c r="L175" s="3"/>
      <c r="M175" s="1"/>
      <c r="N175" s="3"/>
      <c r="O175" s="1"/>
      <c r="P175" s="1"/>
      <c r="Q175" s="1"/>
    </row>
    <row r="176" spans="1:17" x14ac:dyDescent="0.25">
      <c r="A176" s="11" t="s">
        <v>18</v>
      </c>
      <c r="B176" s="16">
        <v>43621</v>
      </c>
      <c r="C176" s="12">
        <v>255170</v>
      </c>
      <c r="D176" s="11" t="s">
        <v>96</v>
      </c>
      <c r="E176" s="18"/>
      <c r="F176" s="44" t="s">
        <v>214</v>
      </c>
      <c r="G176" s="11" t="s">
        <v>215</v>
      </c>
      <c r="H176" s="45">
        <v>37</v>
      </c>
      <c r="I176" s="13">
        <f>H176/2.1</f>
        <v>17.619047619047617</v>
      </c>
      <c r="J176" s="11">
        <v>1</v>
      </c>
      <c r="K176" s="13">
        <f>I176*J176</f>
        <v>17.619047619047617</v>
      </c>
      <c r="L176" s="13"/>
      <c r="M176" s="11"/>
      <c r="N176" s="13"/>
      <c r="O176" s="11" t="s">
        <v>259</v>
      </c>
      <c r="P176" s="1"/>
      <c r="Q176" s="1"/>
    </row>
    <row r="177" spans="1:17" x14ac:dyDescent="0.25">
      <c r="A177" s="11"/>
      <c r="B177" s="16"/>
      <c r="C177" s="12"/>
      <c r="D177" s="11" t="s">
        <v>23</v>
      </c>
      <c r="E177" s="18"/>
      <c r="F177" s="44" t="s">
        <v>226</v>
      </c>
      <c r="G177" s="11" t="s">
        <v>169</v>
      </c>
      <c r="H177" s="45">
        <v>8.52</v>
      </c>
      <c r="I177" s="13">
        <f t="shared" ref="I177:I179" si="12">H177/2.1</f>
        <v>4.0571428571428569</v>
      </c>
      <c r="J177" s="11">
        <v>1</v>
      </c>
      <c r="K177" s="13">
        <f t="shared" ref="K177:K179" si="13">I177*J177</f>
        <v>4.0571428571428569</v>
      </c>
      <c r="L177" s="13"/>
      <c r="M177" s="11"/>
      <c r="N177" s="13"/>
      <c r="O177" s="11"/>
      <c r="P177" s="1"/>
      <c r="Q177" s="1"/>
    </row>
    <row r="178" spans="1:17" x14ac:dyDescent="0.25">
      <c r="A178" s="11"/>
      <c r="B178" s="16"/>
      <c r="C178" s="12"/>
      <c r="D178" s="11" t="s">
        <v>28</v>
      </c>
      <c r="E178" s="11"/>
      <c r="F178" s="11" t="s">
        <v>81</v>
      </c>
      <c r="G178" s="11" t="s">
        <v>25</v>
      </c>
      <c r="H178" s="45">
        <v>13.76</v>
      </c>
      <c r="I178" s="13">
        <f t="shared" si="12"/>
        <v>6.5523809523809522</v>
      </c>
      <c r="J178" s="11">
        <v>1</v>
      </c>
      <c r="K178" s="13">
        <f t="shared" si="13"/>
        <v>6.5523809523809522</v>
      </c>
      <c r="L178" s="13"/>
      <c r="M178" s="11"/>
      <c r="N178" s="13"/>
      <c r="O178" s="11"/>
      <c r="P178" s="1"/>
      <c r="Q178" s="1"/>
    </row>
    <row r="179" spans="1:17" x14ac:dyDescent="0.25">
      <c r="A179" s="11"/>
      <c r="B179" s="16"/>
      <c r="C179" s="12"/>
      <c r="D179" s="11" t="s">
        <v>26</v>
      </c>
      <c r="E179" s="11"/>
      <c r="F179" s="11" t="s">
        <v>168</v>
      </c>
      <c r="G179" s="11" t="s">
        <v>169</v>
      </c>
      <c r="H179" s="45">
        <v>12.04</v>
      </c>
      <c r="I179" s="13">
        <f t="shared" si="12"/>
        <v>5.7333333333333325</v>
      </c>
      <c r="J179" s="11">
        <v>1</v>
      </c>
      <c r="K179" s="13">
        <f t="shared" si="13"/>
        <v>5.7333333333333325</v>
      </c>
      <c r="L179" s="13">
        <v>20</v>
      </c>
      <c r="M179" s="11" t="s">
        <v>254</v>
      </c>
      <c r="N179" s="14">
        <f>K176+K177+K178+K179+L179</f>
        <v>53.961904761904762</v>
      </c>
      <c r="O179" s="11"/>
      <c r="P179" s="1"/>
      <c r="Q179" s="1"/>
    </row>
    <row r="180" spans="1:17" x14ac:dyDescent="0.25">
      <c r="A180" s="1"/>
      <c r="B180" s="17"/>
      <c r="C180" s="15"/>
      <c r="D180" s="49"/>
      <c r="F180" s="43"/>
      <c r="G180" s="1"/>
      <c r="H180" s="29"/>
      <c r="I180" s="3"/>
      <c r="J180" s="1"/>
      <c r="K180" s="3"/>
      <c r="L180" s="3"/>
      <c r="M180" s="1"/>
      <c r="N180" s="3"/>
      <c r="O180" s="1"/>
      <c r="P180" s="1"/>
      <c r="Q180" s="1"/>
    </row>
    <row r="181" spans="1:17" x14ac:dyDescent="0.25">
      <c r="A181" s="11" t="s">
        <v>260</v>
      </c>
      <c r="B181" s="16">
        <v>43753</v>
      </c>
      <c r="C181" s="12">
        <v>258000</v>
      </c>
      <c r="D181" s="11" t="s">
        <v>261</v>
      </c>
      <c r="E181" s="18"/>
      <c r="F181" s="11" t="s">
        <v>262</v>
      </c>
      <c r="G181" s="11" t="s">
        <v>263</v>
      </c>
      <c r="H181" s="45"/>
      <c r="I181" s="13"/>
      <c r="J181" s="11">
        <v>4</v>
      </c>
      <c r="K181" s="13">
        <v>300</v>
      </c>
      <c r="L181" s="13"/>
      <c r="M181" s="11"/>
      <c r="N181" s="13"/>
      <c r="O181" s="11" t="s">
        <v>264</v>
      </c>
      <c r="P181" s="1"/>
      <c r="Q181" s="1"/>
    </row>
    <row r="182" spans="1:17" x14ac:dyDescent="0.25">
      <c r="A182" s="11"/>
      <c r="B182" s="16"/>
      <c r="C182" s="12"/>
      <c r="D182" s="11" t="s">
        <v>265</v>
      </c>
      <c r="E182" s="18"/>
      <c r="F182" s="44"/>
      <c r="G182" s="11"/>
      <c r="H182" s="45"/>
      <c r="I182" s="13"/>
      <c r="J182" s="11"/>
      <c r="K182" s="13">
        <v>40</v>
      </c>
      <c r="L182" s="13"/>
      <c r="M182" s="11" t="s">
        <v>266</v>
      </c>
      <c r="N182" s="14">
        <f>K181+K182</f>
        <v>340</v>
      </c>
      <c r="O182" s="11"/>
      <c r="P182" s="1"/>
      <c r="Q182" s="1"/>
    </row>
    <row r="183" spans="1:17" x14ac:dyDescent="0.25">
      <c r="A183" s="1"/>
      <c r="B183" s="17"/>
      <c r="C183" s="15"/>
      <c r="D183" s="49"/>
      <c r="F183" s="43"/>
      <c r="G183" s="1"/>
      <c r="H183" s="29"/>
      <c r="I183" s="3"/>
      <c r="J183" s="1"/>
      <c r="K183" s="3"/>
      <c r="L183" s="3"/>
      <c r="M183" s="1"/>
      <c r="N183" s="3"/>
      <c r="O183" s="1"/>
      <c r="P183" s="1"/>
      <c r="Q183" s="1"/>
    </row>
    <row r="184" spans="1:17" x14ac:dyDescent="0.25">
      <c r="A184" s="11" t="s">
        <v>267</v>
      </c>
      <c r="B184" s="16">
        <v>43786</v>
      </c>
      <c r="C184" s="12">
        <v>258000</v>
      </c>
      <c r="D184" s="11" t="s">
        <v>268</v>
      </c>
      <c r="E184" s="18"/>
      <c r="F184" s="44"/>
      <c r="G184" s="11"/>
      <c r="H184" s="45"/>
      <c r="I184" s="13"/>
      <c r="J184" s="11"/>
      <c r="K184" s="13"/>
      <c r="L184" s="13"/>
      <c r="M184" s="11" t="s">
        <v>67</v>
      </c>
      <c r="N184" s="14">
        <v>340</v>
      </c>
      <c r="O184" s="11"/>
      <c r="P184" s="1"/>
      <c r="Q184" s="1"/>
    </row>
    <row r="185" spans="1:17" x14ac:dyDescent="0.25">
      <c r="A185" s="1"/>
      <c r="B185" s="17"/>
      <c r="C185" s="15"/>
      <c r="D185" s="49"/>
      <c r="F185" s="43"/>
      <c r="G185" s="1"/>
      <c r="H185" s="29"/>
      <c r="I185" s="3"/>
      <c r="J185" s="1"/>
      <c r="K185" s="3"/>
      <c r="L185" s="3"/>
      <c r="M185" s="1"/>
      <c r="N185" s="3"/>
      <c r="O185" s="1"/>
      <c r="P185" s="1"/>
      <c r="Q185" s="1"/>
    </row>
    <row r="186" spans="1:17" x14ac:dyDescent="0.25">
      <c r="A186" s="11"/>
      <c r="B186" s="16">
        <v>43917</v>
      </c>
      <c r="C186" s="12">
        <v>260000</v>
      </c>
      <c r="D186" s="11" t="s">
        <v>269</v>
      </c>
      <c r="E186" s="18"/>
      <c r="F186" s="44"/>
      <c r="G186" s="11" t="s">
        <v>270</v>
      </c>
      <c r="H186" s="45">
        <v>275</v>
      </c>
      <c r="I186" s="13">
        <v>106</v>
      </c>
      <c r="J186" s="11">
        <v>1</v>
      </c>
      <c r="K186" s="13">
        <v>106</v>
      </c>
      <c r="L186" s="13"/>
      <c r="M186" s="11"/>
      <c r="N186" s="14">
        <v>106</v>
      </c>
      <c r="O186" s="11"/>
      <c r="P186" s="1"/>
      <c r="Q186" s="1"/>
    </row>
    <row r="187" spans="1:17" x14ac:dyDescent="0.25">
      <c r="A187" s="11"/>
      <c r="B187" s="16">
        <v>43917</v>
      </c>
      <c r="C187" s="12"/>
      <c r="D187" s="11" t="s">
        <v>271</v>
      </c>
      <c r="E187" s="18"/>
      <c r="F187" s="44" t="s">
        <v>272</v>
      </c>
      <c r="G187" s="11" t="s">
        <v>273</v>
      </c>
      <c r="H187" s="45">
        <v>5</v>
      </c>
      <c r="I187" s="13"/>
      <c r="J187" s="11">
        <v>1</v>
      </c>
      <c r="K187" s="13">
        <v>2</v>
      </c>
      <c r="L187" s="13"/>
      <c r="M187" s="11"/>
      <c r="N187" s="14">
        <v>2</v>
      </c>
      <c r="O187" s="11"/>
      <c r="P187" s="1"/>
      <c r="Q187" s="1"/>
    </row>
    <row r="188" spans="1:17" x14ac:dyDescent="0.25">
      <c r="A188" s="11"/>
      <c r="B188" s="16">
        <v>43917</v>
      </c>
      <c r="C188" s="12"/>
      <c r="D188" s="11" t="s">
        <v>274</v>
      </c>
      <c r="E188" s="18"/>
      <c r="F188" s="44"/>
      <c r="G188" s="11"/>
      <c r="H188" s="45"/>
      <c r="I188" s="13"/>
      <c r="J188" s="11"/>
      <c r="K188" s="13"/>
      <c r="L188" s="13"/>
      <c r="M188" s="11"/>
      <c r="N188" s="13"/>
      <c r="O188" s="11"/>
      <c r="P188" s="1"/>
      <c r="Q188" s="1"/>
    </row>
    <row r="189" spans="1:17" x14ac:dyDescent="0.25">
      <c r="A189" s="1"/>
      <c r="B189" s="17"/>
      <c r="C189" s="15"/>
      <c r="D189" s="1"/>
      <c r="F189" s="43"/>
      <c r="G189" s="1"/>
      <c r="H189" s="29"/>
      <c r="I189" s="3"/>
      <c r="J189" s="1"/>
      <c r="K189" s="3"/>
      <c r="L189" s="3"/>
      <c r="M189" s="1"/>
      <c r="N189" s="3"/>
      <c r="O189" s="1"/>
      <c r="P189" s="1"/>
      <c r="Q189" s="1"/>
    </row>
    <row r="190" spans="1:17" x14ac:dyDescent="0.25">
      <c r="A190" s="1"/>
      <c r="B190" s="17"/>
      <c r="C190" s="15"/>
      <c r="D190" s="1"/>
      <c r="F190" s="43"/>
      <c r="G190" s="1"/>
      <c r="H190" s="29"/>
      <c r="I190" s="3"/>
      <c r="J190" s="1"/>
      <c r="K190" s="3"/>
      <c r="L190" s="3"/>
      <c r="M190" s="1"/>
      <c r="N190" s="3"/>
      <c r="O190" s="1"/>
      <c r="P190" s="1"/>
      <c r="Q190" s="1"/>
    </row>
    <row r="191" spans="1:17" x14ac:dyDescent="0.25">
      <c r="A191" s="11" t="s">
        <v>37</v>
      </c>
      <c r="B191" s="16">
        <v>43935</v>
      </c>
      <c r="C191" s="12">
        <v>260500</v>
      </c>
      <c r="D191" s="11" t="s">
        <v>275</v>
      </c>
      <c r="E191" s="11" t="s">
        <v>276</v>
      </c>
      <c r="F191" s="11"/>
      <c r="G191" s="11" t="s">
        <v>7</v>
      </c>
      <c r="H191" s="45">
        <v>35</v>
      </c>
      <c r="I191" s="13">
        <f>H191/2.5</f>
        <v>14</v>
      </c>
      <c r="J191" s="11">
        <v>1</v>
      </c>
      <c r="K191" s="13">
        <v>14</v>
      </c>
      <c r="L191" s="13"/>
      <c r="M191" s="11"/>
      <c r="N191" s="13"/>
      <c r="O191" s="11"/>
      <c r="P191" s="1"/>
      <c r="Q191" s="1"/>
    </row>
    <row r="192" spans="1:17" x14ac:dyDescent="0.25">
      <c r="A192" s="11"/>
      <c r="B192" s="16"/>
      <c r="C192" s="12"/>
      <c r="D192" s="11" t="s">
        <v>277</v>
      </c>
      <c r="E192" s="11"/>
      <c r="F192" s="11" t="s">
        <v>278</v>
      </c>
      <c r="G192" s="11" t="s">
        <v>279</v>
      </c>
      <c r="H192" s="45">
        <v>31</v>
      </c>
      <c r="I192" s="13">
        <f>H192/2.5</f>
        <v>12.4</v>
      </c>
      <c r="J192" s="11">
        <v>1</v>
      </c>
      <c r="K192" s="13">
        <v>12.4</v>
      </c>
      <c r="L192" s="13">
        <v>28</v>
      </c>
      <c r="M192" s="11" t="s">
        <v>224</v>
      </c>
      <c r="N192" s="14">
        <f>K191+K192+L192</f>
        <v>54.4</v>
      </c>
      <c r="O192" s="11"/>
      <c r="P192" s="1"/>
      <c r="Q192" s="1"/>
    </row>
    <row r="193" spans="1:17" x14ac:dyDescent="0.25">
      <c r="A193" s="52"/>
      <c r="B193" s="17"/>
      <c r="C193" s="15"/>
      <c r="E193" s="53"/>
      <c r="F193" s="43"/>
      <c r="G193" s="1"/>
      <c r="H193" s="29"/>
      <c r="I193" s="3"/>
      <c r="J193" s="1"/>
      <c r="K193" s="3"/>
      <c r="L193" s="3"/>
      <c r="M193" s="1"/>
      <c r="N193" s="3"/>
      <c r="O193" s="1"/>
      <c r="P193" s="1"/>
      <c r="Q193" s="1"/>
    </row>
    <row r="194" spans="1:17" x14ac:dyDescent="0.25">
      <c r="A194" s="1"/>
      <c r="B194" s="17"/>
      <c r="C194" s="15"/>
      <c r="D194" s="49"/>
      <c r="E194" s="53"/>
      <c r="F194" s="43"/>
      <c r="G194" s="1"/>
      <c r="H194" s="29"/>
      <c r="I194" s="3"/>
      <c r="J194" s="1"/>
      <c r="K194" s="3"/>
      <c r="L194" s="3"/>
      <c r="M194" s="1"/>
      <c r="N194" s="3"/>
      <c r="O194" s="1"/>
      <c r="P194" s="1"/>
      <c r="Q194" s="1"/>
    </row>
    <row r="195" spans="1:17" x14ac:dyDescent="0.25">
      <c r="A195" s="11" t="s">
        <v>280</v>
      </c>
      <c r="B195" s="16">
        <v>44007</v>
      </c>
      <c r="C195" s="12">
        <v>261600</v>
      </c>
      <c r="D195" s="11" t="s">
        <v>96</v>
      </c>
      <c r="E195" s="41"/>
      <c r="F195" s="54" t="s">
        <v>214</v>
      </c>
      <c r="G195" s="11" t="s">
        <v>215</v>
      </c>
      <c r="H195" s="45">
        <v>41.5</v>
      </c>
      <c r="I195" s="13">
        <f t="shared" ref="I195:I199" si="14">H195/2.38</f>
        <v>17.436974789915968</v>
      </c>
      <c r="J195" s="11">
        <v>2</v>
      </c>
      <c r="K195" s="13">
        <f>I195*J195</f>
        <v>34.873949579831937</v>
      </c>
      <c r="L195" s="13"/>
      <c r="M195" s="11"/>
      <c r="N195" s="13"/>
      <c r="O195" s="11" t="s">
        <v>281</v>
      </c>
      <c r="P195" s="1"/>
      <c r="Q195" s="1"/>
    </row>
    <row r="196" spans="1:17" x14ac:dyDescent="0.25">
      <c r="A196" s="11"/>
      <c r="B196" s="16"/>
      <c r="C196" s="12"/>
      <c r="D196" s="11" t="s">
        <v>23</v>
      </c>
      <c r="E196" s="41" t="s">
        <v>282</v>
      </c>
      <c r="F196" s="54" t="s">
        <v>283</v>
      </c>
      <c r="G196" s="11" t="s">
        <v>212</v>
      </c>
      <c r="H196" s="45">
        <v>14.71</v>
      </c>
      <c r="I196" s="13">
        <f t="shared" si="14"/>
        <v>6.1806722689075633</v>
      </c>
      <c r="J196" s="11">
        <v>1</v>
      </c>
      <c r="K196" s="13">
        <f t="shared" ref="K196:K204" si="15">I196*J196</f>
        <v>6.1806722689075633</v>
      </c>
      <c r="L196" s="13"/>
      <c r="M196" s="11"/>
      <c r="N196" s="13"/>
      <c r="O196" s="11"/>
      <c r="P196" s="1"/>
      <c r="Q196" s="1"/>
    </row>
    <row r="197" spans="1:17" x14ac:dyDescent="0.25">
      <c r="A197" s="11"/>
      <c r="B197" s="16"/>
      <c r="C197" s="12"/>
      <c r="D197" s="11" t="s">
        <v>28</v>
      </c>
      <c r="E197" s="41"/>
      <c r="F197" s="11" t="s">
        <v>81</v>
      </c>
      <c r="G197" s="11" t="s">
        <v>25</v>
      </c>
      <c r="H197" s="45">
        <v>17.05</v>
      </c>
      <c r="I197" s="13">
        <f t="shared" si="14"/>
        <v>7.1638655462184877</v>
      </c>
      <c r="J197" s="11">
        <v>1</v>
      </c>
      <c r="K197" s="13">
        <f t="shared" si="15"/>
        <v>7.1638655462184877</v>
      </c>
      <c r="L197" s="13"/>
      <c r="M197" s="11"/>
      <c r="N197" s="13"/>
      <c r="O197" s="11"/>
      <c r="P197" s="1"/>
      <c r="Q197" s="1"/>
    </row>
    <row r="198" spans="1:17" x14ac:dyDescent="0.25">
      <c r="A198" s="11"/>
      <c r="B198" s="16"/>
      <c r="C198" s="12"/>
      <c r="D198" s="11" t="s">
        <v>26</v>
      </c>
      <c r="E198" s="41"/>
      <c r="F198" s="54" t="s">
        <v>227</v>
      </c>
      <c r="G198" s="11" t="s">
        <v>169</v>
      </c>
      <c r="H198" s="45">
        <v>8.16</v>
      </c>
      <c r="I198" s="13">
        <f t="shared" si="14"/>
        <v>3.4285714285714288</v>
      </c>
      <c r="J198" s="11">
        <v>1</v>
      </c>
      <c r="K198" s="13">
        <f t="shared" si="15"/>
        <v>3.4285714285714288</v>
      </c>
      <c r="L198" s="13"/>
      <c r="M198" s="11"/>
      <c r="N198" s="13"/>
      <c r="O198" s="11"/>
      <c r="P198" s="1"/>
      <c r="Q198" s="1"/>
    </row>
    <row r="199" spans="1:17" x14ac:dyDescent="0.25">
      <c r="A199" s="11"/>
      <c r="B199" s="16"/>
      <c r="C199" s="12"/>
      <c r="D199" s="11" t="s">
        <v>51</v>
      </c>
      <c r="E199" s="41"/>
      <c r="F199" s="54" t="s">
        <v>284</v>
      </c>
      <c r="G199" s="11" t="s">
        <v>285</v>
      </c>
      <c r="H199" s="45">
        <v>7.5</v>
      </c>
      <c r="I199" s="13">
        <f t="shared" si="14"/>
        <v>3.151260504201681</v>
      </c>
      <c r="J199" s="11">
        <v>1</v>
      </c>
      <c r="K199" s="13">
        <f t="shared" si="15"/>
        <v>3.151260504201681</v>
      </c>
      <c r="L199" s="13"/>
      <c r="M199" s="11"/>
      <c r="N199" s="13"/>
      <c r="O199" s="11"/>
      <c r="P199" s="1"/>
      <c r="Q199" s="1"/>
    </row>
    <row r="200" spans="1:17" x14ac:dyDescent="0.25">
      <c r="A200" s="11"/>
      <c r="B200" s="16"/>
      <c r="C200" s="12"/>
      <c r="D200" s="11" t="s">
        <v>286</v>
      </c>
      <c r="E200" s="54" t="s">
        <v>287</v>
      </c>
      <c r="F200" s="54" t="s">
        <v>288</v>
      </c>
      <c r="G200" s="11" t="s">
        <v>289</v>
      </c>
      <c r="H200" s="45">
        <v>9.1</v>
      </c>
      <c r="I200" s="13">
        <f>H200/2.38</f>
        <v>3.8235294117647061</v>
      </c>
      <c r="J200" s="11">
        <v>2</v>
      </c>
      <c r="K200" s="13">
        <f t="shared" si="15"/>
        <v>7.6470588235294121</v>
      </c>
      <c r="L200" s="13"/>
      <c r="M200" s="11"/>
      <c r="N200" s="13"/>
      <c r="O200" s="11"/>
      <c r="P200" s="1"/>
      <c r="Q200" s="1"/>
    </row>
    <row r="201" spans="1:17" x14ac:dyDescent="0.25">
      <c r="A201" s="11"/>
      <c r="B201" s="16"/>
      <c r="C201" s="12"/>
      <c r="D201" s="11" t="s">
        <v>290</v>
      </c>
      <c r="E201" s="54"/>
      <c r="F201" s="54" t="s">
        <v>291</v>
      </c>
      <c r="G201" s="11" t="s">
        <v>292</v>
      </c>
      <c r="H201" s="45">
        <v>9.84</v>
      </c>
      <c r="I201" s="13">
        <f>H201/2.38</f>
        <v>4.1344537815126055</v>
      </c>
      <c r="J201" s="11">
        <v>1</v>
      </c>
      <c r="K201" s="13">
        <f t="shared" si="15"/>
        <v>4.1344537815126055</v>
      </c>
      <c r="L201" s="13"/>
      <c r="M201" s="11"/>
      <c r="N201" s="13"/>
      <c r="O201" s="11"/>
      <c r="P201" s="1"/>
      <c r="Q201" s="1"/>
    </row>
    <row r="202" spans="1:17" x14ac:dyDescent="0.25">
      <c r="A202" s="11"/>
      <c r="B202" s="16"/>
      <c r="C202" s="12"/>
      <c r="D202" s="11" t="s">
        <v>69</v>
      </c>
      <c r="E202" s="54" t="s">
        <v>293</v>
      </c>
      <c r="F202" s="55" t="s">
        <v>294</v>
      </c>
      <c r="G202" s="11" t="s">
        <v>295</v>
      </c>
      <c r="H202" s="45">
        <v>97.5</v>
      </c>
      <c r="I202" s="13">
        <f>H202/2.38</f>
        <v>40.966386554621849</v>
      </c>
      <c r="J202" s="11">
        <v>1</v>
      </c>
      <c r="K202" s="13">
        <f t="shared" si="15"/>
        <v>40.966386554621849</v>
      </c>
      <c r="L202" s="13" t="s">
        <v>296</v>
      </c>
      <c r="M202" s="11"/>
      <c r="N202" s="13"/>
      <c r="O202" s="11" t="s">
        <v>297</v>
      </c>
      <c r="P202" s="1"/>
      <c r="Q202" s="1"/>
    </row>
    <row r="203" spans="1:17" x14ac:dyDescent="0.25">
      <c r="A203" s="11"/>
      <c r="B203" s="16"/>
      <c r="C203" s="12"/>
      <c r="D203" s="11" t="s">
        <v>74</v>
      </c>
      <c r="E203" s="54"/>
      <c r="F203" s="11" t="s">
        <v>75</v>
      </c>
      <c r="G203" s="11"/>
      <c r="H203" s="45">
        <v>16</v>
      </c>
      <c r="I203" s="13">
        <f>H203/2.38</f>
        <v>6.7226890756302522</v>
      </c>
      <c r="J203" s="11">
        <v>1</v>
      </c>
      <c r="K203" s="13">
        <f t="shared" si="15"/>
        <v>6.7226890756302522</v>
      </c>
      <c r="L203" s="13" t="s">
        <v>298</v>
      </c>
      <c r="M203" s="11" t="s">
        <v>156</v>
      </c>
      <c r="N203" s="13"/>
      <c r="O203" s="11"/>
      <c r="P203" s="1"/>
      <c r="Q203" s="1"/>
    </row>
    <row r="204" spans="1:17" x14ac:dyDescent="0.25">
      <c r="A204" s="11"/>
      <c r="B204" s="16"/>
      <c r="C204" s="12"/>
      <c r="D204" s="11" t="s">
        <v>299</v>
      </c>
      <c r="E204" s="54" t="s">
        <v>300</v>
      </c>
      <c r="F204" s="56">
        <v>8044201</v>
      </c>
      <c r="G204" s="11" t="s">
        <v>301</v>
      </c>
      <c r="H204" s="45">
        <v>23.96</v>
      </c>
      <c r="I204" s="13">
        <f>H204/2.38</f>
        <v>10.067226890756304</v>
      </c>
      <c r="J204" s="11">
        <v>2</v>
      </c>
      <c r="K204" s="13">
        <f t="shared" si="15"/>
        <v>20.134453781512608</v>
      </c>
      <c r="L204" s="13"/>
      <c r="M204" s="11"/>
      <c r="N204" s="13"/>
      <c r="O204" s="11"/>
      <c r="P204" s="1"/>
      <c r="Q204" s="1"/>
    </row>
    <row r="205" spans="1:17" x14ac:dyDescent="0.25">
      <c r="A205" s="11"/>
      <c r="B205" s="16"/>
      <c r="C205" s="12"/>
      <c r="D205" s="11" t="s">
        <v>302</v>
      </c>
      <c r="E205" s="57"/>
      <c r="F205" s="44"/>
      <c r="G205" s="11"/>
      <c r="H205" s="45"/>
      <c r="I205" s="13"/>
      <c r="J205" s="11"/>
      <c r="K205" s="13"/>
      <c r="L205" s="13">
        <v>194</v>
      </c>
      <c r="M205" s="11"/>
      <c r="N205" s="14">
        <f>K195+K196+K197+K198+K199+K200+K201+K202+K203+K204+L205</f>
        <v>328.40336134453787</v>
      </c>
      <c r="O205" s="11"/>
      <c r="P205" s="1"/>
      <c r="Q205" s="1"/>
    </row>
    <row r="206" spans="1:17" x14ac:dyDescent="0.25">
      <c r="A206" s="1"/>
      <c r="B206" s="17"/>
      <c r="C206" s="15"/>
      <c r="D206" s="1"/>
      <c r="E206" s="58"/>
      <c r="F206" s="43"/>
      <c r="G206" s="1"/>
      <c r="H206" s="29"/>
      <c r="I206" s="3"/>
      <c r="J206" s="1"/>
      <c r="K206" s="3"/>
      <c r="L206" s="3"/>
      <c r="M206" s="1"/>
      <c r="N206" s="3"/>
      <c r="O206" s="1"/>
      <c r="P206" s="1"/>
      <c r="Q206" s="1"/>
    </row>
    <row r="207" spans="1:17" x14ac:dyDescent="0.25">
      <c r="A207" s="1"/>
      <c r="B207" s="17"/>
      <c r="C207" s="15"/>
      <c r="D207" s="1"/>
      <c r="E207" s="58"/>
      <c r="F207" s="43"/>
      <c r="G207" s="1"/>
      <c r="H207" s="29"/>
      <c r="I207" s="3"/>
      <c r="J207" s="1"/>
      <c r="K207" s="3"/>
      <c r="L207" s="3"/>
      <c r="M207" s="1"/>
      <c r="N207" s="3"/>
      <c r="O207" s="1"/>
      <c r="P207" s="1"/>
      <c r="Q207" s="1"/>
    </row>
    <row r="208" spans="1:17" x14ac:dyDescent="0.25">
      <c r="A208" s="1"/>
      <c r="B208" s="17">
        <v>44112</v>
      </c>
      <c r="C208" s="15"/>
      <c r="D208" s="11" t="s">
        <v>303</v>
      </c>
      <c r="E208" s="11"/>
      <c r="F208" s="11" t="s">
        <v>304</v>
      </c>
      <c r="G208" s="11"/>
      <c r="H208" s="11">
        <v>70</v>
      </c>
      <c r="I208" s="45">
        <f>H208/2.6</f>
        <v>26.923076923076923</v>
      </c>
      <c r="J208" s="11"/>
      <c r="K208" s="11">
        <v>26.92</v>
      </c>
      <c r="L208" s="11"/>
      <c r="M208" s="11"/>
      <c r="N208" s="11"/>
      <c r="O208" s="11" t="s">
        <v>305</v>
      </c>
      <c r="P208" s="1"/>
      <c r="Q208" s="1"/>
    </row>
    <row r="209" spans="1:17" x14ac:dyDescent="0.25">
      <c r="A209" s="1"/>
      <c r="B209" s="17"/>
      <c r="C209" s="15"/>
      <c r="D209" s="11" t="s">
        <v>306</v>
      </c>
      <c r="E209" s="11"/>
      <c r="F209" s="11"/>
      <c r="G209" s="11"/>
      <c r="H209" s="11">
        <v>125</v>
      </c>
      <c r="I209" s="45">
        <f>H209/2.6</f>
        <v>48.076923076923073</v>
      </c>
      <c r="J209" s="11"/>
      <c r="K209" s="11"/>
      <c r="L209" s="11">
        <v>48.08</v>
      </c>
      <c r="M209" s="11"/>
      <c r="N209" s="59">
        <f>K208+L209</f>
        <v>75</v>
      </c>
      <c r="O209" s="11" t="s">
        <v>307</v>
      </c>
      <c r="P209" s="1"/>
      <c r="Q209" s="1"/>
    </row>
    <row r="210" spans="1:17" x14ac:dyDescent="0.25">
      <c r="A210" s="1"/>
      <c r="B210" s="17"/>
      <c r="C210" s="15"/>
      <c r="D210" s="1"/>
      <c r="E210" s="58"/>
      <c r="F210" s="43"/>
      <c r="G210" s="1"/>
      <c r="H210" s="29"/>
      <c r="I210" s="3"/>
      <c r="J210" s="1"/>
      <c r="K210" s="3"/>
      <c r="L210" s="3"/>
      <c r="M210" s="1"/>
      <c r="N210" s="3"/>
      <c r="O210" s="1"/>
      <c r="P210" s="1"/>
      <c r="Q210" s="1"/>
    </row>
    <row r="211" spans="1:17" x14ac:dyDescent="0.25">
      <c r="A211" s="1"/>
      <c r="B211" s="17"/>
      <c r="C211" s="15"/>
      <c r="D211" s="1"/>
      <c r="E211" s="58"/>
      <c r="F211" s="43"/>
      <c r="G211" s="1"/>
      <c r="H211" s="29"/>
      <c r="I211" s="3"/>
      <c r="J211" s="1"/>
      <c r="K211" s="3"/>
      <c r="L211" s="3"/>
      <c r="M211" s="1"/>
      <c r="N211" s="59"/>
      <c r="O211" s="1"/>
      <c r="P211" s="1"/>
      <c r="Q211" s="1"/>
    </row>
    <row r="212" spans="1:17" x14ac:dyDescent="0.25">
      <c r="A212" s="11"/>
      <c r="B212" s="16">
        <v>44124</v>
      </c>
      <c r="C212" s="12"/>
      <c r="D212" s="11" t="s">
        <v>82</v>
      </c>
      <c r="E212" s="57"/>
      <c r="F212" s="44"/>
      <c r="G212" s="11" t="s">
        <v>84</v>
      </c>
      <c r="H212" s="45"/>
      <c r="I212" s="13"/>
      <c r="J212" s="11"/>
      <c r="K212" s="13"/>
      <c r="L212" s="13"/>
      <c r="M212" s="11" t="s">
        <v>85</v>
      </c>
      <c r="N212" s="59">
        <v>180</v>
      </c>
      <c r="O212" s="11" t="s">
        <v>308</v>
      </c>
      <c r="P212" s="1"/>
      <c r="Q212" s="1"/>
    </row>
    <row r="213" spans="1:17" x14ac:dyDescent="0.25">
      <c r="A213" s="1"/>
      <c r="B213" s="17"/>
      <c r="C213" s="15"/>
      <c r="D213" s="1"/>
      <c r="E213" s="58"/>
      <c r="F213" s="43"/>
      <c r="G213" s="1"/>
      <c r="H213" s="29"/>
      <c r="I213" s="3"/>
      <c r="J213" s="1"/>
      <c r="K213" s="3"/>
      <c r="L213" s="3"/>
      <c r="M213" s="1"/>
      <c r="N213" s="3"/>
      <c r="O213" s="1"/>
      <c r="P213" s="1"/>
      <c r="Q213" s="1"/>
    </row>
    <row r="214" spans="1:17" x14ac:dyDescent="0.25">
      <c r="A214" s="11"/>
      <c r="B214" s="16">
        <v>44249</v>
      </c>
      <c r="C214" s="12">
        <v>297000</v>
      </c>
      <c r="D214" s="11" t="s">
        <v>208</v>
      </c>
      <c r="E214" s="11" t="s">
        <v>209</v>
      </c>
      <c r="F214" s="11">
        <v>3397118908</v>
      </c>
      <c r="G214" s="11" t="s">
        <v>210</v>
      </c>
      <c r="H214" s="45">
        <v>47</v>
      </c>
      <c r="I214" s="13">
        <f>H214/2.6</f>
        <v>18.076923076923077</v>
      </c>
      <c r="J214" s="11">
        <v>1</v>
      </c>
      <c r="K214" s="13">
        <v>18.079999999999998</v>
      </c>
      <c r="L214" s="13"/>
      <c r="M214" s="11"/>
      <c r="N214" s="59">
        <v>18.079999999999998</v>
      </c>
      <c r="O214" s="1"/>
      <c r="P214" s="1"/>
      <c r="Q214" s="1"/>
    </row>
    <row r="215" spans="1:17" x14ac:dyDescent="0.25">
      <c r="A215" s="1"/>
      <c r="B215" s="17"/>
      <c r="C215" s="15"/>
      <c r="D215" s="1"/>
      <c r="E215" s="58"/>
      <c r="F215" s="43"/>
      <c r="G215" s="1"/>
      <c r="H215" s="29"/>
      <c r="I215" s="3"/>
      <c r="J215" s="1"/>
      <c r="K215" s="3"/>
      <c r="L215" s="3"/>
      <c r="M215" s="1"/>
      <c r="N215" s="3"/>
      <c r="O215" s="1"/>
      <c r="P215" s="1"/>
      <c r="Q215" s="1"/>
    </row>
    <row r="216" spans="1:17" x14ac:dyDescent="0.25">
      <c r="A216" s="1"/>
      <c r="B216" s="17"/>
      <c r="C216" s="15"/>
      <c r="D216" s="1"/>
      <c r="E216" s="58"/>
      <c r="F216" s="43"/>
      <c r="G216" s="1"/>
      <c r="H216" s="29"/>
      <c r="I216" s="3"/>
      <c r="J216" s="1"/>
      <c r="K216" s="3"/>
      <c r="L216" s="3"/>
      <c r="M216" s="1"/>
      <c r="N216" s="3"/>
      <c r="O216" s="1"/>
      <c r="P216" s="1"/>
      <c r="Q216" s="1"/>
    </row>
    <row r="217" spans="1:17" x14ac:dyDescent="0.25">
      <c r="A217" s="11"/>
      <c r="B217" s="16"/>
      <c r="C217" s="12">
        <v>270500</v>
      </c>
      <c r="D217" s="11" t="s">
        <v>19</v>
      </c>
      <c r="E217" s="54" t="s">
        <v>309</v>
      </c>
      <c r="F217" s="54" t="s">
        <v>214</v>
      </c>
      <c r="G217" s="11" t="s">
        <v>215</v>
      </c>
      <c r="H217" s="45">
        <v>72.69</v>
      </c>
      <c r="I217" s="13">
        <f>H217/2.61</f>
        <v>27.850574712643677</v>
      </c>
      <c r="J217" s="11">
        <v>1</v>
      </c>
      <c r="K217" s="13">
        <f>I217*J217</f>
        <v>27.850574712643677</v>
      </c>
      <c r="L217" s="13"/>
      <c r="M217" s="11"/>
      <c r="N217" s="13"/>
      <c r="O217" s="11" t="s">
        <v>310</v>
      </c>
      <c r="P217" s="1"/>
      <c r="Q217" s="1"/>
    </row>
    <row r="218" spans="1:17" x14ac:dyDescent="0.25">
      <c r="A218" s="11"/>
      <c r="B218" s="16"/>
      <c r="C218" s="12"/>
      <c r="D218" s="11"/>
      <c r="E218" s="54" t="s">
        <v>311</v>
      </c>
      <c r="F218" s="54" t="s">
        <v>214</v>
      </c>
      <c r="G218" s="11" t="s">
        <v>215</v>
      </c>
      <c r="H218" s="45">
        <v>13.43</v>
      </c>
      <c r="I218" s="13">
        <f t="shared" ref="I218:I222" si="16">H218/2.61</f>
        <v>5.1455938697318011</v>
      </c>
      <c r="J218" s="11">
        <v>2</v>
      </c>
      <c r="K218" s="13">
        <f t="shared" ref="K218:K222" si="17">I218*J218</f>
        <v>10.291187739463602</v>
      </c>
      <c r="L218" s="13"/>
      <c r="M218" s="11"/>
      <c r="N218" s="13"/>
      <c r="O218" s="11"/>
      <c r="P218" s="1"/>
      <c r="Q218" s="1"/>
    </row>
    <row r="219" spans="1:17" x14ac:dyDescent="0.25">
      <c r="A219" s="11"/>
      <c r="B219" s="16"/>
      <c r="C219" s="12"/>
      <c r="D219" s="11" t="s">
        <v>23</v>
      </c>
      <c r="E219" s="54"/>
      <c r="F219" s="54" t="s">
        <v>312</v>
      </c>
      <c r="G219" s="11" t="s">
        <v>313</v>
      </c>
      <c r="H219" s="45">
        <v>11.75</v>
      </c>
      <c r="I219" s="13">
        <f t="shared" si="16"/>
        <v>4.5019157088122608</v>
      </c>
      <c r="J219" s="11">
        <v>1</v>
      </c>
      <c r="K219" s="13">
        <f t="shared" si="17"/>
        <v>4.5019157088122608</v>
      </c>
      <c r="L219" s="13"/>
      <c r="M219" s="11"/>
      <c r="N219" s="13"/>
      <c r="O219" s="11"/>
      <c r="P219" s="1"/>
      <c r="Q219" s="1"/>
    </row>
    <row r="220" spans="1:17" x14ac:dyDescent="0.25">
      <c r="A220" s="11"/>
      <c r="B220" s="16"/>
      <c r="C220" s="12"/>
      <c r="D220" s="11" t="s">
        <v>28</v>
      </c>
      <c r="E220" s="54"/>
      <c r="F220" s="11" t="s">
        <v>81</v>
      </c>
      <c r="G220" s="11" t="s">
        <v>25</v>
      </c>
      <c r="H220" s="45">
        <v>19.57</v>
      </c>
      <c r="I220" s="13">
        <f t="shared" si="16"/>
        <v>7.4980842911877401</v>
      </c>
      <c r="J220" s="11">
        <v>1</v>
      </c>
      <c r="K220" s="13">
        <f t="shared" si="17"/>
        <v>7.4980842911877401</v>
      </c>
      <c r="L220" s="13"/>
      <c r="M220" s="11"/>
      <c r="N220" s="13"/>
      <c r="O220" s="11"/>
      <c r="P220" s="1"/>
      <c r="Q220" s="1"/>
    </row>
    <row r="221" spans="1:17" x14ac:dyDescent="0.25">
      <c r="A221" s="11"/>
      <c r="B221" s="16"/>
      <c r="C221" s="12"/>
      <c r="D221" s="11" t="s">
        <v>26</v>
      </c>
      <c r="E221" s="54"/>
      <c r="F221" s="54" t="s">
        <v>227</v>
      </c>
      <c r="G221" s="11" t="s">
        <v>169</v>
      </c>
      <c r="H221" s="45">
        <v>13.72</v>
      </c>
      <c r="I221" s="13">
        <f t="shared" si="16"/>
        <v>5.2567049808429127</v>
      </c>
      <c r="J221" s="11">
        <v>1</v>
      </c>
      <c r="K221" s="13">
        <f t="shared" si="17"/>
        <v>5.2567049808429127</v>
      </c>
      <c r="L221" s="13"/>
      <c r="M221" s="11"/>
      <c r="N221" s="13"/>
      <c r="O221" s="11"/>
      <c r="P221" s="1"/>
      <c r="Q221" s="1"/>
    </row>
    <row r="222" spans="1:17" x14ac:dyDescent="0.25">
      <c r="A222" s="11"/>
      <c r="B222" s="16"/>
      <c r="C222" s="12"/>
      <c r="D222" s="11" t="s">
        <v>314</v>
      </c>
      <c r="E222" s="54"/>
      <c r="F222" s="54" t="s">
        <v>315</v>
      </c>
      <c r="G222" s="11" t="s">
        <v>273</v>
      </c>
      <c r="H222" s="45">
        <v>0.95</v>
      </c>
      <c r="I222" s="13">
        <f t="shared" si="16"/>
        <v>0.36398467432950193</v>
      </c>
      <c r="J222" s="11">
        <v>2</v>
      </c>
      <c r="K222" s="13">
        <f t="shared" si="17"/>
        <v>0.72796934865900387</v>
      </c>
      <c r="L222" s="13">
        <v>23</v>
      </c>
      <c r="M222" s="11" t="s">
        <v>156</v>
      </c>
      <c r="N222" s="59">
        <f>K217+K218+K219+K220+K221+K222+L222</f>
        <v>79.126436781609186</v>
      </c>
      <c r="O222" s="11"/>
      <c r="P222" s="1"/>
      <c r="Q222" s="1"/>
    </row>
    <row r="223" spans="1:17" x14ac:dyDescent="0.25">
      <c r="A223" s="1"/>
      <c r="B223" s="17"/>
      <c r="C223" s="15"/>
      <c r="D223" s="1"/>
      <c r="E223" s="58"/>
      <c r="F223" s="43"/>
      <c r="G223" s="1"/>
      <c r="H223" s="29"/>
      <c r="I223" s="3"/>
      <c r="J223" s="1"/>
      <c r="K223" s="3"/>
      <c r="L223" s="3"/>
      <c r="M223" s="1"/>
      <c r="N223" s="3"/>
      <c r="O223" s="1"/>
      <c r="P223" s="1"/>
      <c r="Q223" s="1"/>
    </row>
    <row r="224" spans="1:17" x14ac:dyDescent="0.25">
      <c r="A224" s="1"/>
      <c r="B224" s="17"/>
      <c r="C224" s="15"/>
      <c r="D224" s="1"/>
      <c r="E224" s="58"/>
      <c r="F224" s="43"/>
      <c r="G224" s="1"/>
      <c r="H224" s="29"/>
      <c r="I224" s="3"/>
      <c r="J224" s="1"/>
      <c r="K224" s="3"/>
      <c r="L224" s="3"/>
      <c r="M224" s="1"/>
      <c r="N224" s="3"/>
      <c r="O224" s="1"/>
      <c r="P224" s="1"/>
      <c r="Q224" s="1"/>
    </row>
    <row r="225" spans="1:17" x14ac:dyDescent="0.25">
      <c r="A225" s="1"/>
      <c r="B225" s="17"/>
      <c r="C225" s="15"/>
      <c r="D225" s="1"/>
      <c r="E225" s="58"/>
      <c r="F225" s="43"/>
      <c r="G225" s="1"/>
      <c r="H225" s="29"/>
      <c r="I225" s="3"/>
      <c r="J225" s="1"/>
      <c r="K225" s="3"/>
      <c r="L225" s="3"/>
      <c r="M225" s="1"/>
      <c r="N225" s="3"/>
      <c r="O225" s="1"/>
      <c r="P225" s="1"/>
      <c r="Q225" s="1"/>
    </row>
    <row r="226" spans="1:17" x14ac:dyDescent="0.25">
      <c r="A226" s="1"/>
      <c r="B226" s="17"/>
      <c r="C226" s="15"/>
      <c r="D226" s="1"/>
      <c r="E226" s="58"/>
      <c r="F226" s="43"/>
      <c r="G226" s="1"/>
      <c r="H226" s="29"/>
      <c r="I226" s="3"/>
      <c r="J226" s="1"/>
      <c r="K226" s="3"/>
      <c r="L226" s="3"/>
      <c r="M226" s="1"/>
      <c r="N226" s="3"/>
      <c r="O226" s="1"/>
      <c r="P226" s="1"/>
      <c r="Q226" s="1"/>
    </row>
    <row r="227" spans="1:17" x14ac:dyDescent="0.25">
      <c r="A227" s="1"/>
      <c r="B227" s="17"/>
      <c r="C227" s="15"/>
      <c r="D227" s="1"/>
      <c r="E227" s="58"/>
      <c r="F227" s="43"/>
      <c r="G227" s="1"/>
      <c r="H227" s="29"/>
      <c r="I227" s="3"/>
      <c r="J227" s="1"/>
      <c r="K227" s="3"/>
      <c r="L227" s="3"/>
      <c r="M227" s="1"/>
      <c r="N227" s="3"/>
      <c r="O227" s="1"/>
      <c r="P227" s="1"/>
      <c r="Q227" s="1"/>
    </row>
    <row r="228" spans="1:17" x14ac:dyDescent="0.25">
      <c r="A228" s="1"/>
      <c r="B228" s="17"/>
      <c r="C228" s="15"/>
      <c r="D228" s="1"/>
      <c r="E228" s="58"/>
      <c r="F228" s="43"/>
      <c r="G228" s="1"/>
      <c r="H228" s="29"/>
      <c r="I228" s="3"/>
      <c r="J228" s="1"/>
      <c r="K228" s="3"/>
      <c r="L228" s="3"/>
      <c r="M228" s="1"/>
      <c r="N228" s="3"/>
      <c r="O228" s="1"/>
      <c r="P228" s="1"/>
      <c r="Q228" s="1"/>
    </row>
    <row r="229" spans="1:17" x14ac:dyDescent="0.25">
      <c r="A229" s="1"/>
      <c r="B229" s="17"/>
      <c r="C229" s="15"/>
      <c r="D229" s="1"/>
      <c r="E229" s="58"/>
      <c r="F229" s="43"/>
      <c r="G229" s="1"/>
      <c r="H229" s="29"/>
      <c r="I229" s="3"/>
      <c r="J229" s="1"/>
      <c r="K229" s="3"/>
      <c r="L229" s="3"/>
      <c r="M229" s="1"/>
      <c r="N229" s="3"/>
      <c r="O229" s="1"/>
      <c r="P229" s="1"/>
      <c r="Q229" s="1"/>
    </row>
    <row r="230" spans="1:17" x14ac:dyDescent="0.25">
      <c r="A230" s="1"/>
      <c r="B230" s="17"/>
      <c r="C230" s="15"/>
      <c r="D230" s="1"/>
      <c r="E230" s="58"/>
      <c r="F230" s="43"/>
      <c r="G230" s="1"/>
      <c r="H230" s="29"/>
      <c r="I230" s="3"/>
      <c r="J230" s="1"/>
      <c r="K230" s="3"/>
      <c r="L230" s="3"/>
      <c r="M230" s="1"/>
      <c r="N230" s="3"/>
      <c r="O230" s="1"/>
      <c r="P230" s="1"/>
      <c r="Q230" s="1"/>
    </row>
    <row r="231" spans="1:17" x14ac:dyDescent="0.25">
      <c r="A231" s="1"/>
      <c r="B231" s="17"/>
      <c r="C231" s="15"/>
      <c r="D231" s="1"/>
      <c r="E231" s="58"/>
      <c r="F231" s="43"/>
      <c r="G231" s="1"/>
      <c r="H231" s="29"/>
      <c r="I231" s="3"/>
      <c r="J231" s="1"/>
      <c r="K231" s="3"/>
      <c r="L231" s="3"/>
      <c r="M231" s="1"/>
      <c r="N231" s="3"/>
      <c r="O231" s="1"/>
      <c r="P231" s="1"/>
      <c r="Q231" s="1"/>
    </row>
    <row r="232" spans="1:17" x14ac:dyDescent="0.25">
      <c r="A232" s="1"/>
      <c r="B232" s="17"/>
      <c r="C232" s="15"/>
      <c r="D232" s="49"/>
      <c r="E232" s="53"/>
      <c r="F232" s="43"/>
      <c r="G232" s="1"/>
      <c r="H232" s="29"/>
      <c r="I232" s="3"/>
      <c r="J232" s="1"/>
      <c r="K232" s="3"/>
      <c r="L232" s="3"/>
      <c r="M232" s="1"/>
      <c r="N232" s="3"/>
      <c r="O232" s="1"/>
      <c r="P232" s="1"/>
      <c r="Q232" s="1"/>
    </row>
    <row r="233" spans="1:17" x14ac:dyDescent="0.25">
      <c r="A233" s="1"/>
      <c r="B233" s="17"/>
      <c r="C233" s="15"/>
      <c r="D233" s="1" t="s">
        <v>316</v>
      </c>
      <c r="E233" s="53"/>
      <c r="F233" s="43"/>
      <c r="G233" s="1"/>
      <c r="H233" s="29"/>
      <c r="I233" s="3"/>
      <c r="J233" s="1"/>
      <c r="K233" s="3"/>
      <c r="L233" s="3"/>
      <c r="M233" s="1"/>
      <c r="N233" s="3"/>
      <c r="O233" s="1"/>
      <c r="P233" s="1"/>
      <c r="Q233" s="1"/>
    </row>
    <row r="234" spans="1:17" x14ac:dyDescent="0.25">
      <c r="A234" s="1"/>
      <c r="B234" s="17"/>
      <c r="C234" s="15"/>
      <c r="D234" s="1" t="s">
        <v>317</v>
      </c>
      <c r="E234" s="1" t="s">
        <v>318</v>
      </c>
      <c r="F234" s="43"/>
      <c r="G234" s="1"/>
      <c r="H234" s="29"/>
      <c r="I234" s="3"/>
      <c r="J234" s="1"/>
      <c r="K234" s="3"/>
      <c r="L234" s="3"/>
      <c r="M234" s="1"/>
      <c r="N234" s="3"/>
      <c r="O234" s="1"/>
      <c r="P234" s="1"/>
      <c r="Q234" s="1"/>
    </row>
    <row r="235" spans="1:17" x14ac:dyDescent="0.25">
      <c r="A235" s="1"/>
      <c r="B235" s="17"/>
      <c r="C235" s="15"/>
      <c r="D235" s="1" t="s">
        <v>319</v>
      </c>
      <c r="E235" s="1" t="s">
        <v>320</v>
      </c>
      <c r="F235" s="43"/>
      <c r="G235" s="1"/>
      <c r="H235" s="29"/>
      <c r="I235" s="3"/>
      <c r="J235" s="1"/>
      <c r="K235" s="3"/>
      <c r="L235" s="3"/>
      <c r="M235" s="1"/>
      <c r="N235" s="3"/>
      <c r="O235" s="1"/>
      <c r="P235" s="1"/>
      <c r="Q235" s="1"/>
    </row>
    <row r="236" spans="1:17" x14ac:dyDescent="0.25">
      <c r="A236" s="1"/>
      <c r="B236" s="17"/>
      <c r="C236" s="15"/>
      <c r="D236" s="1" t="s">
        <v>321</v>
      </c>
      <c r="F236" s="43"/>
      <c r="G236" s="1"/>
      <c r="H236" s="29"/>
      <c r="I236" s="3"/>
      <c r="J236" s="1"/>
      <c r="K236" s="3"/>
      <c r="L236" s="3"/>
      <c r="M236" s="1"/>
      <c r="N236" s="3"/>
      <c r="O236" s="1"/>
      <c r="P236" s="1"/>
      <c r="Q236" s="1"/>
    </row>
    <row r="237" spans="1:17" x14ac:dyDescent="0.25">
      <c r="A237" s="1"/>
      <c r="B237" s="17"/>
      <c r="C237" s="15"/>
      <c r="D237" s="11" t="s">
        <v>74</v>
      </c>
      <c r="E237" s="24"/>
      <c r="F237" s="11" t="s">
        <v>322</v>
      </c>
      <c r="G237" s="1"/>
      <c r="H237" s="29"/>
      <c r="I237" s="3"/>
      <c r="J237" s="1"/>
      <c r="K237" s="3"/>
      <c r="L237" s="3"/>
      <c r="M237" s="1"/>
      <c r="N237" s="3"/>
      <c r="O237" s="1"/>
      <c r="P237" s="1"/>
      <c r="Q237" s="1"/>
    </row>
    <row r="238" spans="1:17" x14ac:dyDescent="0.25">
      <c r="A238" s="1"/>
      <c r="B238" s="17"/>
      <c r="C238" s="15"/>
      <c r="D238" s="49"/>
      <c r="F238" s="43"/>
      <c r="G238" s="1"/>
      <c r="H238" s="29"/>
      <c r="I238" s="3"/>
      <c r="J238" s="1"/>
      <c r="K238" s="3"/>
      <c r="L238" s="3"/>
      <c r="M238" s="1"/>
      <c r="N238" s="3"/>
      <c r="O238" s="1"/>
      <c r="P238" s="1"/>
      <c r="Q238" s="1"/>
    </row>
    <row r="239" spans="1:17" x14ac:dyDescent="0.25">
      <c r="A239" s="1"/>
      <c r="B239" s="17"/>
      <c r="C239" s="15"/>
      <c r="D239" s="60" t="s">
        <v>323</v>
      </c>
      <c r="F239" s="43"/>
      <c r="G239" s="1"/>
      <c r="H239" s="29"/>
      <c r="I239" s="3"/>
      <c r="J239" s="1"/>
      <c r="K239" s="3"/>
      <c r="L239" s="3"/>
      <c r="M239" s="1"/>
      <c r="N239" s="3"/>
      <c r="O239" s="1"/>
      <c r="P239" s="1"/>
      <c r="Q239" s="1"/>
    </row>
    <row r="240" spans="1:17" x14ac:dyDescent="0.25">
      <c r="A240" s="1"/>
      <c r="B240" s="17"/>
      <c r="C240" s="15"/>
      <c r="D240" s="17" t="s">
        <v>82</v>
      </c>
      <c r="F240" s="43"/>
      <c r="G240" s="1"/>
      <c r="H240" s="29"/>
      <c r="I240" s="3"/>
      <c r="J240" s="1"/>
      <c r="K240" s="3"/>
      <c r="L240" s="3"/>
      <c r="M240" s="1"/>
      <c r="N240" s="3"/>
      <c r="O240" s="1"/>
      <c r="P240" s="1"/>
      <c r="Q240" s="1"/>
    </row>
    <row r="241" spans="1:17" x14ac:dyDescent="0.25">
      <c r="A241" s="1"/>
      <c r="B241" s="17"/>
      <c r="C241" s="15"/>
      <c r="D241" s="49"/>
      <c r="F241" s="43"/>
      <c r="G241" s="1"/>
      <c r="H241" s="29"/>
      <c r="I241" s="3"/>
      <c r="J241" s="1"/>
      <c r="K241" s="3"/>
      <c r="L241" s="3"/>
      <c r="M241" s="1"/>
      <c r="N241" s="3"/>
      <c r="O241" s="1"/>
      <c r="P241" s="1"/>
      <c r="Q241" s="1"/>
    </row>
    <row r="242" spans="1:17" x14ac:dyDescent="0.25">
      <c r="A242" s="1"/>
      <c r="B242" s="17"/>
      <c r="C242" s="15"/>
      <c r="D242" s="1"/>
      <c r="E242" s="1"/>
      <c r="F242" s="43"/>
      <c r="G242" s="1"/>
      <c r="H242" s="29"/>
      <c r="I242" s="3"/>
      <c r="J242" s="1"/>
      <c r="K242" s="3"/>
      <c r="L242" s="3"/>
      <c r="M242" s="1"/>
      <c r="N242" s="3"/>
      <c r="O242" s="1"/>
      <c r="P242" s="1"/>
      <c r="Q242" s="1"/>
    </row>
    <row r="243" spans="1:17" x14ac:dyDescent="0.25">
      <c r="A243" s="11"/>
      <c r="B243" s="16"/>
      <c r="C243" s="12"/>
      <c r="D243" s="11" t="s">
        <v>324</v>
      </c>
      <c r="E243" s="11" t="s">
        <v>325</v>
      </c>
      <c r="F243" s="31" t="s">
        <v>326</v>
      </c>
      <c r="G243" s="11" t="s">
        <v>327</v>
      </c>
      <c r="H243" s="11">
        <v>33</v>
      </c>
      <c r="I243" s="13">
        <f>H243/1.99</f>
        <v>16.582914572864322</v>
      </c>
      <c r="J243" s="11">
        <v>2</v>
      </c>
      <c r="K243" s="13">
        <f>I243*J243</f>
        <v>33.165829145728644</v>
      </c>
      <c r="L243" s="18"/>
      <c r="M243" s="11"/>
      <c r="N243" s="13"/>
      <c r="O243" s="11" t="s">
        <v>328</v>
      </c>
      <c r="P243" s="11"/>
      <c r="Q243" s="61" t="s">
        <v>329</v>
      </c>
    </row>
    <row r="244" spans="1:17" x14ac:dyDescent="0.25">
      <c r="A244" s="1"/>
      <c r="B244" s="17"/>
      <c r="C244" s="15"/>
      <c r="D244" s="1"/>
      <c r="E244" s="1"/>
      <c r="F244" s="43"/>
      <c r="G244" s="1"/>
      <c r="H244" s="29"/>
      <c r="I244" s="3"/>
      <c r="J244" s="1"/>
      <c r="K244" s="3"/>
      <c r="L244" s="3"/>
      <c r="M244" s="1"/>
      <c r="N244" s="3"/>
      <c r="O244" s="1"/>
      <c r="P244" s="1"/>
      <c r="Q244" s="1"/>
    </row>
    <row r="245" spans="1:17" x14ac:dyDescent="0.25">
      <c r="A245" s="1"/>
      <c r="B245" s="17"/>
      <c r="C245" s="15"/>
      <c r="D245" s="1"/>
      <c r="E245" s="1"/>
      <c r="F245" s="43"/>
      <c r="G245" s="1"/>
      <c r="H245" s="29"/>
      <c r="I245" s="3"/>
      <c r="J245" s="1"/>
      <c r="K245" s="3"/>
      <c r="L245" s="3"/>
      <c r="M245" s="1"/>
      <c r="N245" s="3"/>
      <c r="O245" s="1"/>
      <c r="P245" s="1"/>
      <c r="Q245" s="1"/>
    </row>
    <row r="246" spans="1:17" x14ac:dyDescent="0.25">
      <c r="A246" s="1"/>
      <c r="B246" s="17"/>
      <c r="C246" s="15"/>
      <c r="D246" s="43"/>
      <c r="E246" s="1"/>
      <c r="F246" s="1"/>
      <c r="G246" s="1"/>
      <c r="H246" s="1"/>
      <c r="I246" s="3"/>
      <c r="J246" s="1"/>
      <c r="K246" s="3"/>
      <c r="L246" s="3"/>
      <c r="M246" s="1"/>
      <c r="N246" s="3"/>
      <c r="O246" s="1"/>
      <c r="P246" s="1"/>
      <c r="Q246" s="1"/>
    </row>
    <row r="247" spans="1:17" x14ac:dyDescent="0.25">
      <c r="A247" s="1"/>
      <c r="B247" s="17"/>
      <c r="C247" s="15"/>
      <c r="D247" s="1" t="s">
        <v>330</v>
      </c>
      <c r="E247" s="1"/>
      <c r="F247" s="1" t="s">
        <v>331</v>
      </c>
      <c r="G247" s="1"/>
      <c r="H247" s="1"/>
      <c r="I247" s="3"/>
      <c r="J247" s="1"/>
      <c r="K247" s="3"/>
      <c r="L247" s="3"/>
      <c r="M247" s="1"/>
      <c r="N247" s="3"/>
      <c r="O247" s="1"/>
      <c r="P247" s="1"/>
      <c r="Q247" s="1"/>
    </row>
    <row r="248" spans="1:17" x14ac:dyDescent="0.25">
      <c r="A248" s="1"/>
      <c r="B248" s="17"/>
      <c r="C248" s="15"/>
      <c r="D248" s="1" t="s">
        <v>332</v>
      </c>
      <c r="E248" s="1"/>
      <c r="F248" s="30">
        <v>450000</v>
      </c>
      <c r="G248" s="1" t="s">
        <v>333</v>
      </c>
      <c r="H248" s="1"/>
      <c r="I248" s="3"/>
      <c r="J248" s="1"/>
      <c r="K248" s="3"/>
      <c r="L248" s="3"/>
      <c r="M248" s="1"/>
      <c r="N248" s="3"/>
      <c r="O248" s="1"/>
      <c r="P248" s="1"/>
      <c r="Q248" s="1"/>
    </row>
    <row r="249" spans="1:17" x14ac:dyDescent="0.25">
      <c r="A249" s="1"/>
      <c r="B249" s="17"/>
      <c r="C249" s="15"/>
      <c r="D249" s="1" t="s">
        <v>334</v>
      </c>
      <c r="E249" s="1"/>
      <c r="F249" s="30">
        <v>680000</v>
      </c>
      <c r="G249" s="1" t="s">
        <v>333</v>
      </c>
      <c r="H249" s="1"/>
      <c r="I249" s="3" t="s">
        <v>335</v>
      </c>
      <c r="J249" s="1"/>
      <c r="K249" s="3"/>
      <c r="L249" s="3"/>
      <c r="M249" s="1"/>
      <c r="N249" s="3"/>
      <c r="O249" s="1"/>
      <c r="P249" s="1">
        <v>640</v>
      </c>
      <c r="Q249" s="1">
        <f>P249/60</f>
        <v>10.666666666666666</v>
      </c>
    </row>
    <row r="250" spans="1:17" x14ac:dyDescent="0.25">
      <c r="A250" s="1"/>
      <c r="B250" s="17"/>
      <c r="C250" s="15"/>
      <c r="D250" s="1"/>
      <c r="E250" s="1"/>
      <c r="F250" s="1"/>
      <c r="G250" s="1"/>
      <c r="H250" s="1"/>
      <c r="I250" s="3"/>
      <c r="J250" s="1"/>
      <c r="K250" s="3"/>
      <c r="L250" s="3"/>
      <c r="M250" s="1"/>
      <c r="N250" s="3"/>
      <c r="O250" s="1"/>
      <c r="P250" s="1"/>
      <c r="Q250" s="1"/>
    </row>
    <row r="251" spans="1:17" x14ac:dyDescent="0.25">
      <c r="A251" s="1"/>
      <c r="B251" s="1"/>
      <c r="C251" s="15"/>
      <c r="D251" s="1" t="s">
        <v>336</v>
      </c>
      <c r="E251" s="1"/>
      <c r="F251" s="1"/>
      <c r="G251" s="1"/>
      <c r="H251" s="1"/>
      <c r="I251" s="3"/>
      <c r="J251" s="1"/>
      <c r="K251" s="3" t="s">
        <v>89</v>
      </c>
      <c r="L251" s="3"/>
      <c r="M251" s="1"/>
      <c r="N251" s="3"/>
      <c r="O251" s="1"/>
      <c r="P251" s="1"/>
      <c r="Q251" s="1"/>
    </row>
    <row r="252" spans="1:17" x14ac:dyDescent="0.25">
      <c r="A252" s="1"/>
      <c r="B252" s="1"/>
      <c r="C252" s="15"/>
      <c r="D252" s="1" t="s">
        <v>337</v>
      </c>
      <c r="E252" s="1"/>
      <c r="F252" s="1"/>
      <c r="G252" s="1"/>
      <c r="H252" s="1"/>
      <c r="I252" s="3"/>
      <c r="J252" s="1"/>
      <c r="K252" s="3"/>
      <c r="L252" s="3"/>
      <c r="M252" s="1"/>
      <c r="N252" s="3"/>
      <c r="P252" s="1"/>
      <c r="Q252" s="1"/>
    </row>
    <row r="253" spans="1:17" x14ac:dyDescent="0.25">
      <c r="A253" s="1"/>
      <c r="B253" s="1"/>
      <c r="C253" s="15"/>
      <c r="D253" s="1" t="s">
        <v>324</v>
      </c>
      <c r="E253" s="1"/>
      <c r="F253" s="1" t="s">
        <v>325</v>
      </c>
      <c r="G253" s="1" t="s">
        <v>95</v>
      </c>
      <c r="H253" s="1"/>
      <c r="I253" s="3" t="s">
        <v>338</v>
      </c>
      <c r="J253" s="1"/>
      <c r="K253" s="3"/>
      <c r="L253" s="3"/>
      <c r="M253" s="1"/>
      <c r="N253" s="3"/>
      <c r="O253" s="1"/>
      <c r="P253" s="1"/>
      <c r="Q253" s="1"/>
    </row>
    <row r="254" spans="1:17" x14ac:dyDescent="0.25">
      <c r="A254" s="1"/>
      <c r="B254" s="1"/>
      <c r="C254" s="15"/>
      <c r="D254" s="39" t="s">
        <v>339</v>
      </c>
      <c r="E254" s="39"/>
      <c r="F254" s="1"/>
      <c r="G254" s="1"/>
      <c r="H254" s="1"/>
      <c r="I254" s="3"/>
      <c r="J254" s="1"/>
      <c r="K254" s="3"/>
      <c r="L254" s="3"/>
      <c r="M254" s="1"/>
      <c r="N254" s="3"/>
      <c r="O254" s="1"/>
      <c r="P254" s="1"/>
      <c r="Q254" s="1"/>
    </row>
    <row r="255" spans="1:17" x14ac:dyDescent="0.25">
      <c r="A255" s="1"/>
      <c r="B255" s="1"/>
      <c r="C255" s="15"/>
      <c r="D255" s="1" t="s">
        <v>340</v>
      </c>
      <c r="E255" s="1"/>
      <c r="F255" s="1"/>
      <c r="G255" s="1"/>
      <c r="H255" s="1"/>
      <c r="I255" s="3"/>
      <c r="J255" s="1"/>
      <c r="K255" s="3"/>
      <c r="L255" s="3"/>
      <c r="M255" s="1"/>
      <c r="N255" s="3"/>
      <c r="O255" s="1"/>
      <c r="P255" s="1"/>
      <c r="Q255" s="1"/>
    </row>
    <row r="256" spans="1:17" x14ac:dyDescent="0.25">
      <c r="A256" s="1"/>
      <c r="B256" s="1"/>
      <c r="C256" s="15"/>
      <c r="D256" s="1" t="s">
        <v>341</v>
      </c>
      <c r="E256" s="1"/>
      <c r="F256" s="1"/>
      <c r="G256" s="1"/>
      <c r="H256" s="1"/>
      <c r="I256" s="3"/>
      <c r="J256" s="1"/>
      <c r="K256" s="3"/>
      <c r="L256" s="3"/>
      <c r="M256" s="1"/>
      <c r="N256" s="3"/>
      <c r="O256" s="1"/>
      <c r="P256" s="1"/>
      <c r="Q256" s="1"/>
    </row>
    <row r="257" spans="1:17" x14ac:dyDescent="0.25">
      <c r="A257" s="1"/>
      <c r="B257" s="1"/>
      <c r="C257" s="15"/>
      <c r="D257" s="1" t="s">
        <v>342</v>
      </c>
      <c r="E257" s="1"/>
      <c r="F257" s="1" t="s">
        <v>343</v>
      </c>
      <c r="G257" s="1"/>
      <c r="H257" s="1"/>
      <c r="I257" s="3"/>
      <c r="J257" s="1"/>
      <c r="K257" s="3"/>
      <c r="L257" s="3"/>
      <c r="M257" s="1"/>
      <c r="N257" s="3"/>
      <c r="O257" s="1"/>
      <c r="P257" s="1"/>
      <c r="Q257" s="1"/>
    </row>
    <row r="258" spans="1:17" x14ac:dyDescent="0.25">
      <c r="A258" s="1"/>
      <c r="B258" s="1"/>
      <c r="C258" s="15"/>
      <c r="D258" s="11" t="s">
        <v>344</v>
      </c>
      <c r="E258" s="1"/>
      <c r="F258" s="1"/>
      <c r="G258" s="1"/>
      <c r="H258" s="1"/>
      <c r="I258" s="3"/>
      <c r="J258" s="1"/>
      <c r="K258" s="3"/>
      <c r="L258" s="3"/>
      <c r="M258" s="1"/>
      <c r="N258" s="3"/>
      <c r="O258" s="1"/>
      <c r="P258" s="1"/>
      <c r="Q258" s="1"/>
    </row>
    <row r="259" spans="1:17" x14ac:dyDescent="0.25">
      <c r="A259" s="1"/>
      <c r="B259" s="1"/>
      <c r="C259" s="15"/>
      <c r="D259" s="1" t="s">
        <v>345</v>
      </c>
      <c r="E259" s="1"/>
      <c r="F259" s="1"/>
      <c r="G259" s="1"/>
      <c r="H259" s="1"/>
      <c r="I259" s="3"/>
      <c r="J259" s="1"/>
      <c r="K259" s="3"/>
      <c r="L259" s="3"/>
      <c r="M259" s="1"/>
      <c r="N259" s="3"/>
      <c r="O259" s="1"/>
      <c r="P259" s="1"/>
      <c r="Q259" s="1"/>
    </row>
    <row r="260" spans="1:17" x14ac:dyDescent="0.25">
      <c r="A260" s="1"/>
      <c r="B260" s="1"/>
      <c r="C260" s="15"/>
      <c r="D260" s="1" t="s">
        <v>346</v>
      </c>
      <c r="E260" s="1"/>
      <c r="F260" s="1"/>
      <c r="G260" s="1"/>
      <c r="H260" s="1"/>
      <c r="I260" s="3"/>
      <c r="J260" s="1"/>
      <c r="K260" s="3"/>
      <c r="L260" s="3"/>
      <c r="M260" s="1"/>
      <c r="N260" s="3"/>
      <c r="O260" s="1"/>
      <c r="P260" s="1"/>
      <c r="Q260" s="1"/>
    </row>
    <row r="261" spans="1:17" x14ac:dyDescent="0.25">
      <c r="C261" s="62"/>
    </row>
    <row r="262" spans="1:17" x14ac:dyDescent="0.25">
      <c r="A262" t="s">
        <v>347</v>
      </c>
      <c r="C262" s="62"/>
    </row>
    <row r="263" spans="1:17" x14ac:dyDescent="0.25">
      <c r="A263" s="63" t="s">
        <v>348</v>
      </c>
      <c r="C263" s="62"/>
    </row>
    <row r="264" spans="1:17" x14ac:dyDescent="0.25">
      <c r="C264" s="62"/>
    </row>
    <row r="265" spans="1:17" x14ac:dyDescent="0.25">
      <c r="A265" t="s">
        <v>349</v>
      </c>
      <c r="C265" s="62"/>
    </row>
    <row r="266" spans="1:17" x14ac:dyDescent="0.25">
      <c r="A266" t="s">
        <v>350</v>
      </c>
      <c r="C266" s="62"/>
    </row>
    <row r="267" spans="1:17" x14ac:dyDescent="0.25">
      <c r="A267" t="s">
        <v>351</v>
      </c>
      <c r="C267" s="62"/>
    </row>
    <row r="268" spans="1:17" x14ac:dyDescent="0.25">
      <c r="C268" s="62"/>
    </row>
    <row r="269" spans="1:17" x14ac:dyDescent="0.25">
      <c r="C269" s="62"/>
    </row>
    <row r="270" spans="1:17" x14ac:dyDescent="0.25">
      <c r="A270" t="s">
        <v>352</v>
      </c>
      <c r="C270" s="62"/>
    </row>
    <row r="271" spans="1:17" x14ac:dyDescent="0.25">
      <c r="A271" t="s">
        <v>353</v>
      </c>
      <c r="C271" s="62"/>
    </row>
    <row r="272" spans="1:17" x14ac:dyDescent="0.25">
      <c r="C272" s="62"/>
    </row>
    <row r="273" spans="1:6" x14ac:dyDescent="0.25">
      <c r="A273" s="64" t="s">
        <v>354</v>
      </c>
      <c r="B273" t="s">
        <v>355</v>
      </c>
      <c r="C273" s="62"/>
    </row>
    <row r="274" spans="1:6" x14ac:dyDescent="0.25">
      <c r="C274" s="62"/>
    </row>
    <row r="275" spans="1:6" x14ac:dyDescent="0.25">
      <c r="A275" s="64" t="s">
        <v>356</v>
      </c>
      <c r="C275" s="62"/>
    </row>
    <row r="276" spans="1:6" x14ac:dyDescent="0.25">
      <c r="C276" s="62"/>
    </row>
    <row r="277" spans="1:6" x14ac:dyDescent="0.25">
      <c r="C277" s="62"/>
    </row>
    <row r="278" spans="1:6" x14ac:dyDescent="0.25">
      <c r="C278" s="62"/>
    </row>
    <row r="279" spans="1:6" x14ac:dyDescent="0.25">
      <c r="C279" s="62"/>
      <c r="D279" t="s">
        <v>357</v>
      </c>
    </row>
    <row r="281" spans="1:6" x14ac:dyDescent="0.25">
      <c r="D281">
        <v>304350</v>
      </c>
      <c r="F281">
        <f>D281/18000</f>
        <v>16.908333333333335</v>
      </c>
    </row>
    <row r="285" spans="1:6" x14ac:dyDescent="0.25">
      <c r="D285" t="s">
        <v>358</v>
      </c>
    </row>
    <row r="286" spans="1:6" x14ac:dyDescent="0.25">
      <c r="D286" s="43" t="s">
        <v>359</v>
      </c>
    </row>
    <row r="287" spans="1:6" x14ac:dyDescent="0.25">
      <c r="D287" s="64" t="s">
        <v>360</v>
      </c>
    </row>
    <row r="288" spans="1:6" x14ac:dyDescent="0.25">
      <c r="D288" s="43" t="s">
        <v>361</v>
      </c>
    </row>
  </sheetData>
  <autoFilter ref="A7:O260" xr:uid="{00000000-0009-0000-0000-000000000000}"/>
  <mergeCells count="2">
    <mergeCell ref="L56:L59"/>
    <mergeCell ref="M56:M60"/>
  </mergeCells>
  <hyperlinks>
    <hyperlink ref="D164" r:id="rId1" xr:uid="{C2BCBDF7-D3C6-402E-91C5-6914F83636B0}"/>
    <hyperlink ref="A275" r:id="rId2" xr:uid="{E6BE4532-7152-4106-8DE0-E41F21BB0D20}"/>
    <hyperlink ref="D287" r:id="rId3" display="http://www.commaoil.ru/catalog/oil/element.php?IBLOCK_ID=5&amp;SECTION_ID=7&amp;ELEMENT_ID=49" xr:uid="{3A3C98E8-6EF4-4DA5-89AA-57DBC4BE1919}"/>
    <hyperlink ref="A273" r:id="rId4" xr:uid="{73CA1EE3-02C5-4620-99C7-1D3C3D26B4C6}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Соренто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Капцов Сергей Михайлович</dc:creator>
  <cp:lastModifiedBy>Капцов Сергей Михайлович</cp:lastModifiedBy>
  <dcterms:created xsi:type="dcterms:W3CDTF">2026-09-29T12:43:59Z</dcterms:created>
  <dcterms:modified xsi:type="dcterms:W3CDTF">2026-09-29T12:44:58Z</dcterms:modified>
</cp:coreProperties>
</file>